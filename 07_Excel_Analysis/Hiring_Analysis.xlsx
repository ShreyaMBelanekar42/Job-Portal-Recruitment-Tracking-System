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xr:revisionPtr revIDLastSave="0" documentId="8_{1781D95D-BC90-43F3-823B-FFF0AA5606D8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Candidates" sheetId="1" r:id="rId1"/>
    <sheet name="Applications" sheetId="4" r:id="rId2"/>
    <sheet name="Jobs" sheetId="2" r:id="rId3"/>
    <sheet name="Interviews" sheetId="3" r:id="rId4"/>
    <sheet name="Recruitment_Dashboard ⁠" sheetId="6" r:id="rId5"/>
  </sheets>
  <definedNames>
    <definedName name="Slicer_Application_Status">#N/A</definedName>
    <definedName name="Slicer_Job_Title">#N/A</definedName>
    <definedName name="Slicer_Source">#N/A</definedName>
  </definedNames>
  <calcPr calcId="191028"/>
  <pivotCaches>
    <pivotCache cacheId="2000" r:id="rId6"/>
    <pivotCache cacheId="2001" r:id="rId7"/>
    <pivotCache cacheId="200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6" l="1"/>
  <c r="F36" i="6"/>
  <c r="F34" i="6"/>
  <c r="F32" i="6"/>
</calcChain>
</file>

<file path=xl/sharedStrings.xml><?xml version="1.0" encoding="utf-8"?>
<sst xmlns="http://schemas.openxmlformats.org/spreadsheetml/2006/main" count="577" uniqueCount="246">
  <si>
    <t>Candidate_ID</t>
  </si>
  <si>
    <t>Candidate_Name</t>
  </si>
  <si>
    <t>Email</t>
  </si>
  <si>
    <t>Phone</t>
  </si>
  <si>
    <t>Skill</t>
  </si>
  <si>
    <t>Experience_Years</t>
  </si>
  <si>
    <t>Application_Status</t>
  </si>
  <si>
    <t>City</t>
  </si>
  <si>
    <t>State</t>
  </si>
  <si>
    <t>Country</t>
  </si>
  <si>
    <t>C001</t>
  </si>
  <si>
    <t>Ankit Sharma</t>
  </si>
  <si>
    <t>ankit@gmail.com</t>
  </si>
  <si>
    <t>Java</t>
  </si>
  <si>
    <t>Applied</t>
  </si>
  <si>
    <t>Bangalore</t>
  </si>
  <si>
    <t>Karnataka</t>
  </si>
  <si>
    <t>India</t>
  </si>
  <si>
    <t>C002</t>
  </si>
  <si>
    <t>Priya Mehta</t>
  </si>
  <si>
    <t>priya@gmail.com</t>
  </si>
  <si>
    <t>SQL</t>
  </si>
  <si>
    <t>Shortlisted</t>
  </si>
  <si>
    <t>Pune</t>
  </si>
  <si>
    <t>Maharashtra</t>
  </si>
  <si>
    <t>C003</t>
  </si>
  <si>
    <t>Rohit Verma</t>
  </si>
  <si>
    <t>rohit@gmail.com</t>
  </si>
  <si>
    <t>Python</t>
  </si>
  <si>
    <t>Interview Scheduled</t>
  </si>
  <si>
    <t>Delhi</t>
  </si>
  <si>
    <t>Delhi (NCT)</t>
  </si>
  <si>
    <t>C004</t>
  </si>
  <si>
    <t>Neha Singh</t>
  </si>
  <si>
    <t>neha@gmail.com</t>
  </si>
  <si>
    <t>Excel</t>
  </si>
  <si>
    <t>Rejected</t>
  </si>
  <si>
    <t>Mumbai</t>
  </si>
  <si>
    <t>C005</t>
  </si>
  <si>
    <t>Aman Patel</t>
  </si>
  <si>
    <t>aman@gmail.com</t>
  </si>
  <si>
    <t>React</t>
  </si>
  <si>
    <t>Selected</t>
  </si>
  <si>
    <t>Ahmedabad</t>
  </si>
  <si>
    <t>Gujarat</t>
  </si>
  <si>
    <t>C006</t>
  </si>
  <si>
    <t>Sneha Iyer</t>
  </si>
  <si>
    <t>sneha@gmail.com</t>
  </si>
  <si>
    <t>Tableau</t>
  </si>
  <si>
    <t>Chennai</t>
  </si>
  <si>
    <t>Tamil Nadu</t>
  </si>
  <si>
    <t>C007</t>
  </si>
  <si>
    <t>Kunal Shah</t>
  </si>
  <si>
    <t>kunal@gmail.com</t>
  </si>
  <si>
    <t>Power BI</t>
  </si>
  <si>
    <t>C008</t>
  </si>
  <si>
    <t>Pooja Nair</t>
  </si>
  <si>
    <t>pooja@gmail.com</t>
  </si>
  <si>
    <t>Kochi</t>
  </si>
  <si>
    <t>Kerala</t>
  </si>
  <si>
    <t>C009</t>
  </si>
  <si>
    <t>Rakesh Kumar</t>
  </si>
  <si>
    <t>rakesh@gmail.com</t>
  </si>
  <si>
    <t>Noida</t>
  </si>
  <si>
    <t>Uttar Pradesh</t>
  </si>
  <si>
    <t>C010</t>
  </si>
  <si>
    <t>Aditi Rao</t>
  </si>
  <si>
    <t>aditi@gmail.com</t>
  </si>
  <si>
    <t>Hyderabad</t>
  </si>
  <si>
    <t>Telangana</t>
  </si>
  <si>
    <t>C011</t>
  </si>
  <si>
    <t>Suresh Yadav</t>
  </si>
  <si>
    <t>suresh@gmail.com</t>
  </si>
  <si>
    <t>Indore</t>
  </si>
  <si>
    <t>Madhya Pradesh</t>
  </si>
  <si>
    <t>C012</t>
  </si>
  <si>
    <t>Kavya Jain</t>
  </si>
  <si>
    <t>kavya@gmail.com</t>
  </si>
  <si>
    <t>Jaipur</t>
  </si>
  <si>
    <t>Rajasthan</t>
  </si>
  <si>
    <t>C013</t>
  </si>
  <si>
    <t>Nitin Gupta</t>
  </si>
  <si>
    <t>nitin@gmail.com</t>
  </si>
  <si>
    <t>Node.js</t>
  </si>
  <si>
    <t>Gurgaon</t>
  </si>
  <si>
    <t>Haryana</t>
  </si>
  <si>
    <t>C014</t>
  </si>
  <si>
    <t>Simran Kaur</t>
  </si>
  <si>
    <t>simran@gmail.com</t>
  </si>
  <si>
    <t>Chandigarh</t>
  </si>
  <si>
    <t>Chandigarh (UT)</t>
  </si>
  <si>
    <t>C015</t>
  </si>
  <si>
    <t>Arjun Malhotra</t>
  </si>
  <si>
    <t>arjun@gmail.com</t>
  </si>
  <si>
    <t>C016</t>
  </si>
  <si>
    <t>Riya Das</t>
  </si>
  <si>
    <t>riya@gmail.com</t>
  </si>
  <si>
    <t>Kolkata</t>
  </si>
  <si>
    <t>West Bengal</t>
  </si>
  <si>
    <t>C017</t>
  </si>
  <si>
    <t>Mohit Aggarwal</t>
  </si>
  <si>
    <t>mohit@gmail.com</t>
  </si>
  <si>
    <t>Faridabad</t>
  </si>
  <si>
    <t>C018</t>
  </si>
  <si>
    <t>Pankaj Mishra</t>
  </si>
  <si>
    <t>pankaj@gmail.com</t>
  </si>
  <si>
    <t>Bhopal</t>
  </si>
  <si>
    <t>C019</t>
  </si>
  <si>
    <t>Tanya Roy</t>
  </si>
  <si>
    <t>tanya@gmail.com</t>
  </si>
  <si>
    <t>Ranchi</t>
  </si>
  <si>
    <t>Jharkhand</t>
  </si>
  <si>
    <t>C020</t>
  </si>
  <si>
    <t>Deepak Soni</t>
  </si>
  <si>
    <t>deepak@gmail.com</t>
  </si>
  <si>
    <t>Udaipur</t>
  </si>
  <si>
    <t>C021</t>
  </si>
  <si>
    <t>Shalini Verma</t>
  </si>
  <si>
    <t>shalini@gmail.com</t>
  </si>
  <si>
    <t>C022</t>
  </si>
  <si>
    <t>Varun Kapoor</t>
  </si>
  <si>
    <t>varun@gmail.com</t>
  </si>
  <si>
    <t>C023</t>
  </si>
  <si>
    <t>Isha Khanna</t>
  </si>
  <si>
    <t>isha@gmail.com</t>
  </si>
  <si>
    <t>C024</t>
  </si>
  <si>
    <t>Rahul Joshi</t>
  </si>
  <si>
    <t>rahul@gmail.com</t>
  </si>
  <si>
    <t>C025</t>
  </si>
  <si>
    <t>Nisha Arora</t>
  </si>
  <si>
    <t>nisha@gmail.com</t>
  </si>
  <si>
    <t>Application_ID</t>
  </si>
  <si>
    <t>Job_ID</t>
  </si>
  <si>
    <t>Application_Date</t>
  </si>
  <si>
    <t>Status</t>
  </si>
  <si>
    <t>Source</t>
  </si>
  <si>
    <t>APP001</t>
  </si>
  <si>
    <t>J001</t>
  </si>
  <si>
    <t>LinkedIn</t>
  </si>
  <si>
    <t>APP002</t>
  </si>
  <si>
    <t>Company Website</t>
  </si>
  <si>
    <t>APP003</t>
  </si>
  <si>
    <t>J002</t>
  </si>
  <si>
    <t>APP004</t>
  </si>
  <si>
    <t>J013</t>
  </si>
  <si>
    <t>Referral</t>
  </si>
  <si>
    <t>APP005</t>
  </si>
  <si>
    <t>APP006</t>
  </si>
  <si>
    <t>J011</t>
  </si>
  <si>
    <t>Job Portal</t>
  </si>
  <si>
    <t>APP007</t>
  </si>
  <si>
    <t>J004</t>
  </si>
  <si>
    <t>APP008</t>
  </si>
  <si>
    <t>J003</t>
  </si>
  <si>
    <t>APP009</t>
  </si>
  <si>
    <t>J005</t>
  </si>
  <si>
    <t>APP010</t>
  </si>
  <si>
    <t>J014</t>
  </si>
  <si>
    <t>APP011</t>
  </si>
  <si>
    <t>APP012</t>
  </si>
  <si>
    <t>APP013</t>
  </si>
  <si>
    <t>APP014</t>
  </si>
  <si>
    <t>APP015</t>
  </si>
  <si>
    <t>APP016</t>
  </si>
  <si>
    <t>APP017</t>
  </si>
  <si>
    <t>J015</t>
  </si>
  <si>
    <t>APP018</t>
  </si>
  <si>
    <t>APP019</t>
  </si>
  <si>
    <t>APP020</t>
  </si>
  <si>
    <t>APP021</t>
  </si>
  <si>
    <t>APP022</t>
  </si>
  <si>
    <t>APP023</t>
  </si>
  <si>
    <t>APP024</t>
  </si>
  <si>
    <t>APP025</t>
  </si>
  <si>
    <t>Job_Title</t>
  </si>
  <si>
    <t>Department</t>
  </si>
  <si>
    <t>Required_Skill</t>
  </si>
  <si>
    <t>Min_Experience</t>
  </si>
  <si>
    <t>Location</t>
  </si>
  <si>
    <t>Job_Status</t>
  </si>
  <si>
    <t>Business Analyst</t>
  </si>
  <si>
    <t>Analytics</t>
  </si>
  <si>
    <t>Open</t>
  </si>
  <si>
    <t>Data Analyst</t>
  </si>
  <si>
    <t>Backend Developer</t>
  </si>
  <si>
    <t>IT</t>
  </si>
  <si>
    <t>Closed</t>
  </si>
  <si>
    <t>Frontend Developer</t>
  </si>
  <si>
    <t>MIS Executive</t>
  </si>
  <si>
    <t>Operations</t>
  </si>
  <si>
    <t>J006</t>
  </si>
  <si>
    <t>BI Analyst</t>
  </si>
  <si>
    <t>J007</t>
  </si>
  <si>
    <t>Data Engineer</t>
  </si>
  <si>
    <t>J008</t>
  </si>
  <si>
    <t>Product Analyst</t>
  </si>
  <si>
    <t>Product</t>
  </si>
  <si>
    <t>J009</t>
  </si>
  <si>
    <t>Software Engineer</t>
  </si>
  <si>
    <t>J010</t>
  </si>
  <si>
    <t>Reporting Analyst</t>
  </si>
  <si>
    <t>Business Analyst Intern</t>
  </si>
  <si>
    <t>J012</t>
  </si>
  <si>
    <t>Junior Analyst</t>
  </si>
  <si>
    <t>Data Scientist</t>
  </si>
  <si>
    <t>Tech Analyst</t>
  </si>
  <si>
    <t>Analytics Intern</t>
  </si>
  <si>
    <t>Interview_ID</t>
  </si>
  <si>
    <t>Interview_Date</t>
  </si>
  <si>
    <t>Interviewer</t>
  </si>
  <si>
    <t>Interview_Status</t>
  </si>
  <si>
    <t>I001</t>
  </si>
  <si>
    <t>Hiring Manager</t>
  </si>
  <si>
    <t>Completed</t>
  </si>
  <si>
    <t>I002</t>
  </si>
  <si>
    <t>HR</t>
  </si>
  <si>
    <t>I003</t>
  </si>
  <si>
    <t>Tech Lead</t>
  </si>
  <si>
    <t>I004</t>
  </si>
  <si>
    <t>Scheduled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</si>
  <si>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</si>
  <si>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</si>
  <si>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</si>
  <si>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</si>
  <si>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</si>
  <si>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</si>
  <si>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</si>
  <si>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</si>
  <si>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</si>
  <si>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</si>
  <si>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</si>
  <si>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</si>
  <si>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</si>
  <si>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</si>
  <si>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</si>
  <si>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</si>
  <si>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RECRUITMENT DASHBOARD</t>
  </si>
  <si>
    <t>Count of Candidate_ID</t>
  </si>
  <si>
    <t>Count of Application_ID</t>
  </si>
  <si>
    <t>Count of Job_ID</t>
  </si>
  <si>
    <t>Grand Total</t>
  </si>
  <si>
    <t>KPIS</t>
  </si>
  <si>
    <t>Total Candidates</t>
  </si>
  <si>
    <t>Total Applications</t>
  </si>
  <si>
    <t>Interviews Conducted</t>
  </si>
  <si>
    <t>Candidates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</si>
</sst>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20"/>
      <color theme="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0" pivotButton="1" applyFont="1"/>
    <xf numFmtId="0" fontId="4" fillId="0" borderId="0" xfId="0" applyFont="1"/>
    <xf numFmtId="0" fontId="4" fillId="0" borderId="0" xfId="0" applyNumberFormat="1" applyFont="1"/>
    <xf numFmtId="0" fontId="5" fillId="0" borderId="0" xfId="0" applyFont="1"/>
    <xf numFmtId="0" fontId="6" fillId="0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left"/>
    </xf>
    <xf numFmtId="0" fontId="9" fillId="3" borderId="0" xfId="0" applyFont="1" applyFill="1"/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1" applyAlignment="1">
      <alignment horizontal="center" wrapText="1"/>
    </xf>
    <xf numFmtId="14" fontId="3" fillId="0" borderId="0" xfId="0" applyNumberFormat="1" applyFont="1" applyAlignment="1">
      <alignment horizontal="center" wrapText="1"/>
    </xf>
  </cellXfs>
  <cellStyles count="2">
    <cellStyle name="Hyperlink" xfId="1" builtinId="8"/>
    <cellStyle name="Normal" xfId="0" builtinId="0"/>
  </cellStyles>
  <dxfs count="18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[ATS_DATA.xlsx]Recruitment_Dashboard ⁠!PivotTable2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Hiring Funnel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Recruitment_Dashboard ⁠!$F$4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Recruitment_Dashboard ⁠!$E$5:$E$10</c:f>
              <c:strCache>
                <c:ptCount val="5"/>
                <c:pt idx="0">
                  <c:v>Applied</c:v>
                </c:pt>
                <c:pt idx="1">
                  <c:v>Interview Scheduled</c:v>
                </c:pt>
                <c:pt idx="2">
                  <c:v>Rejected</c:v>
                </c:pt>
                <c:pt idx="3">
                  <c:v>Selected</c:v>
                </c:pt>
                <c:pt idx="4">
                  <c:v>Shortlisted</c:v>
                </c:pt>
              </c:strCache>
            </c:strRef>
          </c:cat>
          <c:val>
            <c:numRef>
              <c:f>Recruitment_Dashboard ⁠!$F$5:$F$10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4-4CBB-B537-EBED62B8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141896"/>
        <c:axId val="780497416"/>
      </c:barChart>
      <c:catAx>
        <c:axId val="173514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Application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97416"/>
        <c:crosses val="autoZero"/>
        <c:auto val="1"/>
        <c:lblAlgn val="ctr"/>
        <c:lblOffset val="100"/>
        <c:noMultiLvlLbl val="0"/>
      </c:catAx>
      <c:valAx>
        <c:axId val="78049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Candidate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14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[ATS_DATA.xlsx]Recruitment_Dashboard ⁠!PivotTable5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Recruitment_Dashboard ⁠!$I$4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05-4258-85BB-98A2CFED418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05-4258-85BB-98A2CFED418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05-4258-85BB-98A2CFED418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05-4258-85BB-98A2CFED418C}"/>
              </c:ext>
            </c:extLst>
          </c:dPt>
          <c:cat>
            <c:strRef>
              <c:f>Recruitment_Dashboard ⁠!$H$5:$H$9</c:f>
              <c:strCache>
                <c:ptCount val="4"/>
                <c:pt idx="0">
                  <c:v>Company Website</c:v>
                </c:pt>
                <c:pt idx="1">
                  <c:v>Job Portal</c:v>
                </c:pt>
                <c:pt idx="2">
                  <c:v>LinkedIn</c:v>
                </c:pt>
                <c:pt idx="3">
                  <c:v>Referral</c:v>
                </c:pt>
              </c:strCache>
            </c:strRef>
          </c:cat>
          <c:val>
            <c:numRef>
              <c:f>Recruitment_Dashboard ⁠!$I$5:$I$9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D-4051-881E-B1EA7E8C5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[ATS_DATA.xlsx]Recruitment_Dashboard ⁠!PivotTable6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Recruitment_Dashboard ⁠!$L$4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6F-4743-9828-BE76B6736BD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6F-4743-9828-BE76B6736BD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6F-4743-9828-BE76B6736BD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6F-4743-9828-BE76B6736BDA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6F-4743-9828-BE76B6736BDA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06F-4743-9828-BE76B6736BDA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06F-4743-9828-BE76B6736BDA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06F-4743-9828-BE76B6736BDA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06F-4743-9828-BE76B6736BDA}"/>
              </c:ext>
            </c:extLst>
          </c:dPt>
          <c:cat>
            <c:strRef>
              <c:f>Recruitment_Dashboard ⁠!$K$5:$K$14</c:f>
              <c:strCache>
                <c:ptCount val="9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Gurgaon</c:v>
                </c:pt>
                <c:pt idx="4">
                  <c:v>Hyderabad</c:v>
                </c:pt>
                <c:pt idx="5">
                  <c:v>Indore</c:v>
                </c:pt>
                <c:pt idx="6">
                  <c:v>Mumbai</c:v>
                </c:pt>
                <c:pt idx="7">
                  <c:v>Noida</c:v>
                </c:pt>
                <c:pt idx="8">
                  <c:v>Pune</c:v>
                </c:pt>
              </c:strCache>
            </c:strRef>
          </c:cat>
          <c:val>
            <c:numRef>
              <c:f>Recruitment_Dashboard ⁠!$L$5:$L$14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2-44A0-AAB2-6C7209317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0</xdr:rowOff>
    </xdr:from>
    <xdr:to>
      <xdr:col>3</xdr:col>
      <xdr:colOff>323850</xdr:colOff>
      <xdr:row>9</xdr:row>
      <xdr:rowOff>228600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pplication_Status 1">
              <a:extLst>
                <a:ext uri="{FF2B5EF4-FFF2-40B4-BE49-F238E27FC236}">
                  <a16:creationId xmlns:a16="http://schemas.microsoft.com/office/drawing/2014/main" id="{246AB6CE-4F29-83AD-D436-A1689580E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pplication_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" y="714375"/>
              <a:ext cx="1828800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323850</xdr:colOff>
      <xdr:row>10</xdr:row>
      <xdr:rowOff>57150</xdr:rowOff>
    </xdr:from>
    <xdr:to>
      <xdr:col>3</xdr:col>
      <xdr:colOff>323850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ource 1">
              <a:extLst>
                <a:ext uri="{FF2B5EF4-FFF2-40B4-BE49-F238E27FC236}">
                  <a16:creationId xmlns:a16="http://schemas.microsoft.com/office/drawing/2014/main" id="{E9ECD825-1A98-B545-0F37-7E98C45B0963}"/>
                </a:ext>
                <a:ext uri="{147F2762-F138-4A5C-976F-8EAC2B608ADB}">
                  <a16:predDERef xmlns:a16="http://schemas.microsoft.com/office/drawing/2014/main" pred="{246AB6CE-4F29-83AD-D436-A1689580E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" y="2438400"/>
              <a:ext cx="1828800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323850</xdr:colOff>
      <xdr:row>16</xdr:row>
      <xdr:rowOff>180975</xdr:rowOff>
    </xdr:from>
    <xdr:to>
      <xdr:col>3</xdr:col>
      <xdr:colOff>323850</xdr:colOff>
      <xdr:row>30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Job_Title 1">
              <a:extLst>
                <a:ext uri="{FF2B5EF4-FFF2-40B4-BE49-F238E27FC236}">
                  <a16:creationId xmlns:a16="http://schemas.microsoft.com/office/drawing/2014/main" id="{215B2B2A-C6FD-1275-24F6-97871212AFC2}"/>
                </a:ext>
                <a:ext uri="{147F2762-F138-4A5C-976F-8EAC2B608ADB}">
                  <a16:predDERef xmlns:a16="http://schemas.microsoft.com/office/drawing/2014/main" pred="{E9ECD825-1A98-B545-0F37-7E98C45B0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" y="3895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0</xdr:colOff>
      <xdr:row>11</xdr:row>
      <xdr:rowOff>19050</xdr:rowOff>
    </xdr:from>
    <xdr:to>
      <xdr:col>7</xdr:col>
      <xdr:colOff>504825</xdr:colOff>
      <xdr:row>27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6F9B8F-8EE5-65B1-C462-1398A7CC836C}"/>
            </a:ext>
            <a:ext uri="{147F2762-F138-4A5C-976F-8EAC2B608ADB}">
              <a16:predDERef xmlns:a16="http://schemas.microsoft.com/office/drawing/2014/main" pred="{215B2B2A-C6FD-1275-24F6-97871212A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15</xdr:row>
      <xdr:rowOff>9525</xdr:rowOff>
    </xdr:from>
    <xdr:to>
      <xdr:col>12</xdr:col>
      <xdr:colOff>9525</xdr:colOff>
      <xdr:row>27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762F82-E85C-D94F-2FAA-B0208730FF1C}"/>
            </a:ext>
            <a:ext uri="{147F2762-F138-4A5C-976F-8EAC2B608ADB}">
              <a16:predDERef xmlns:a16="http://schemas.microsoft.com/office/drawing/2014/main" pred="{8B6F9B8F-8EE5-65B1-C462-1398A7CC8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790575</xdr:colOff>
      <xdr:row>11</xdr:row>
      <xdr:rowOff>9525</xdr:rowOff>
    </xdr:from>
    <xdr:to>
      <xdr:col>9</xdr:col>
      <xdr:colOff>352425</xdr:colOff>
      <xdr:row>27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AAAADD-AC6D-B45A-FA75-F47F51B966F3}"/>
            </a:ext>
            <a:ext uri="{147F2762-F138-4A5C-976F-8EAC2B608ADB}">
              <a16:predDERef xmlns:a16="http://schemas.microsoft.com/office/drawing/2014/main" pred="{FC762F82-E85C-D94F-2FAA-B0208730F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712454166664" createdVersion="8" refreshedVersion="8" minRefreshableVersion="3" recordCount="25" xr:uid="{E229A3F3-946D-428B-BC0F-2892EB38D58F}">
  <cacheSource type="worksheet">
    <worksheetSource ref="A1:J26" sheet="Candidates"/>
  </cacheSource>
  <cacheFields count="10">
    <cacheField name="Candidate_ID" numFmtId="0">
      <sharedItems count="25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</sharedItems>
    </cacheField>
    <cacheField name="Candidate_Name" numFmtId="0">
      <sharedItems/>
    </cacheField>
    <cacheField name="Email" numFmtId="0">
      <sharedItems/>
    </cacheField>
    <cacheField name="Phone" numFmtId="0">
      <sharedItems containsSemiMixedTypes="0" containsString="0" containsNumber="1" containsInteger="1" minValue="9876543210" maxValue="9876543234"/>
    </cacheField>
    <cacheField name="Skill" numFmtId="0">
      <sharedItems/>
    </cacheField>
    <cacheField name="Experience_Years" numFmtId="0">
      <sharedItems containsSemiMixedTypes="0" containsString="0" containsNumber="1" containsInteger="1" minValue="0" maxValue="5"/>
    </cacheField>
    <cacheField name="Application_Status" numFmtId="0">
      <sharedItems count="5">
        <s v="Applied"/>
        <s v="Shortlisted"/>
        <s v="Interview Scheduled"/>
        <s v="Rejected"/>
        <s v="Selected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 pivotCacheId="200144891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715197800928" createdVersion="8" refreshedVersion="8" minRefreshableVersion="3" recordCount="25" xr:uid="{C1D852A9-F4AC-49B6-B8D9-787F946BA1B2}">
  <cacheSource type="worksheet">
    <worksheetSource ref="A1:F26" sheet="Applications"/>
  </cacheSource>
  <cacheFields count="6">
    <cacheField name="Application_ID" numFmtId="0">
      <sharedItems/>
    </cacheField>
    <cacheField name="Candidate_ID" numFmtId="0">
      <sharedItems/>
    </cacheField>
    <cacheField name="Job_ID" numFmtId="0">
      <sharedItems/>
    </cacheField>
    <cacheField name="Application_Date" numFmtId="14">
      <sharedItems containsSemiMixedTypes="0" containsNonDate="0" containsDate="1" containsString="0" minDate="2024-08-05T00:00:00" maxDate="2024-10-14T00:00:00"/>
    </cacheField>
    <cacheField name="Status" numFmtId="0">
      <sharedItems count="5">
        <s v="Applied"/>
        <s v="Shortlisted"/>
        <s v="Rejected"/>
        <s v="Interview Scheduled"/>
        <s v="Selected"/>
      </sharedItems>
    </cacheField>
    <cacheField name="Source" numFmtId="0">
      <sharedItems count="4">
        <s v="LinkedIn"/>
        <s v="Company Website"/>
        <s v="Referral"/>
        <s v="Job Portal"/>
      </sharedItems>
    </cacheField>
  </cacheFields>
  <extLst>
    <ext xmlns:x14="http://schemas.microsoft.com/office/spreadsheetml/2009/9/main" uri="{725AE2AE-9491-48be-B2B4-4EB974FC3084}">
      <x14:pivotCacheDefinition pivotCacheId="127115087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716070254632" createdVersion="8" refreshedVersion="8" minRefreshableVersion="3" recordCount="15" xr:uid="{617ED178-6A20-4F25-B208-7FD534DECB4C}">
  <cacheSource type="worksheet">
    <worksheetSource ref="A1:G16" sheet="Jobs"/>
  </cacheSource>
  <cacheFields count="7">
    <cacheField name="Job_ID" numFmtId="0">
      <sharedItems/>
    </cacheField>
    <cacheField name="Job_Title" numFmtId="0">
      <sharedItems count="15">
        <s v="Business Analyst"/>
        <s v="Data Analyst"/>
        <s v="Backend Developer"/>
        <s v="Frontend Developer"/>
        <s v="MIS Executive"/>
        <s v="BI Analyst"/>
        <s v="Data Engineer"/>
        <s v="Product Analyst"/>
        <s v="Software Engineer"/>
        <s v="Reporting Analyst"/>
        <s v="Business Analyst Intern"/>
        <s v="Junior Analyst"/>
        <s v="Data Scientist"/>
        <s v="Tech Analyst"/>
        <s v="Analytics Intern"/>
      </sharedItems>
    </cacheField>
    <cacheField name="Department" numFmtId="0">
      <sharedItems/>
    </cacheField>
    <cacheField name="Required_Skill" numFmtId="0">
      <sharedItems/>
    </cacheField>
    <cacheField name="Min_Experience" numFmtId="0">
      <sharedItems containsSemiMixedTypes="0" containsString="0" containsNumber="1" containsInteger="1" minValue="0" maxValue="4"/>
    </cacheField>
    <cacheField name="Location" numFmtId="0">
      <sharedItems count="9">
        <s v="Bangalore"/>
        <s v="Delhi"/>
        <s v="Pune"/>
        <s v="Mumbai"/>
        <s v="Chennai"/>
        <s v="Hyderabad"/>
        <s v="Gurgaon"/>
        <s v="Noida"/>
        <s v="Indore"/>
      </sharedItems>
    </cacheField>
    <cacheField name="Job_Status" numFmtId="0">
      <sharedItems/>
    </cacheField>
  </cacheFields>
  <extLst>
    <ext xmlns:x14="http://schemas.microsoft.com/office/spreadsheetml/2009/9/main" uri="{725AE2AE-9491-48be-B2B4-4EB974FC3084}">
      <x14:pivotCacheDefinition pivotCacheId="18737397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Ankit Sharma"/>
    <s v="ankit@gmail.com"/>
    <n v="9876543210"/>
    <s v="Java"/>
    <n v="2"/>
    <x v="0"/>
    <s v="Bangalore"/>
    <s v="Karnataka"/>
    <s v="India"/>
  </r>
  <r>
    <x v="1"/>
    <s v="Priya Mehta"/>
    <s v="priya@gmail.com"/>
    <n v="9876543211"/>
    <s v="SQL"/>
    <n v="1"/>
    <x v="1"/>
    <s v="Pune"/>
    <s v="Maharashtra"/>
    <s v="India"/>
  </r>
  <r>
    <x v="2"/>
    <s v="Rohit Verma"/>
    <s v="rohit@gmail.com"/>
    <n v="9876543212"/>
    <s v="Python"/>
    <n v="3"/>
    <x v="2"/>
    <s v="Delhi"/>
    <s v="Delhi (NCT)"/>
    <s v="India"/>
  </r>
  <r>
    <x v="3"/>
    <s v="Neha Singh"/>
    <s v="neha@gmail.com"/>
    <n v="9876543213"/>
    <s v="Excel"/>
    <n v="0"/>
    <x v="3"/>
    <s v="Mumbai"/>
    <s v="Maharashtra"/>
    <s v="India"/>
  </r>
  <r>
    <x v="4"/>
    <s v="Aman Patel"/>
    <s v="aman@gmail.com"/>
    <n v="9876543214"/>
    <s v="React"/>
    <n v="2"/>
    <x v="4"/>
    <s v="Ahmedabad"/>
    <s v="Gujarat"/>
    <s v="India"/>
  </r>
  <r>
    <x v="5"/>
    <s v="Sneha Iyer"/>
    <s v="sneha@gmail.com"/>
    <n v="9876543215"/>
    <s v="Tableau"/>
    <n v="1"/>
    <x v="0"/>
    <s v="Chennai"/>
    <s v="Tamil Nadu"/>
    <s v="India"/>
  </r>
  <r>
    <x v="6"/>
    <s v="Kunal Shah"/>
    <s v="kunal@gmail.com"/>
    <n v="9876543216"/>
    <s v="Power BI"/>
    <n v="2"/>
    <x v="1"/>
    <s v="Bangalore"/>
    <s v="Karnataka"/>
    <s v="India"/>
  </r>
  <r>
    <x v="7"/>
    <s v="Pooja Nair"/>
    <s v="pooja@gmail.com"/>
    <n v="9876543217"/>
    <s v="SQL"/>
    <n v="3"/>
    <x v="2"/>
    <s v="Kochi"/>
    <s v="Kerala"/>
    <s v="India"/>
  </r>
  <r>
    <x v="8"/>
    <s v="Rakesh Kumar"/>
    <s v="rakesh@gmail.com"/>
    <n v="9876543218"/>
    <s v="Python"/>
    <n v="4"/>
    <x v="4"/>
    <s v="Noida"/>
    <s v="Uttar Pradesh"/>
    <s v="India"/>
  </r>
  <r>
    <x v="9"/>
    <s v="Aditi Rao"/>
    <s v="aditi@gmail.com"/>
    <n v="9876543219"/>
    <s v="Excel"/>
    <n v="1"/>
    <x v="0"/>
    <s v="Hyderabad"/>
    <s v="Telangana"/>
    <s v="India"/>
  </r>
  <r>
    <x v="10"/>
    <s v="Suresh Yadav"/>
    <s v="suresh@gmail.com"/>
    <n v="9876543220"/>
    <s v="Java"/>
    <n v="5"/>
    <x v="2"/>
    <s v="Indore"/>
    <s v="Madhya Pradesh"/>
    <s v="India"/>
  </r>
  <r>
    <x v="11"/>
    <s v="Kavya Jain"/>
    <s v="kavya@gmail.com"/>
    <n v="9876543221"/>
    <s v="SQL"/>
    <n v="2"/>
    <x v="1"/>
    <s v="Jaipur"/>
    <s v="Rajasthan"/>
    <s v="India"/>
  </r>
  <r>
    <x v="12"/>
    <s v="Nitin Gupta"/>
    <s v="nitin@gmail.com"/>
    <n v="9876543222"/>
    <s v="Node.js"/>
    <n v="3"/>
    <x v="3"/>
    <s v="Gurgaon"/>
    <s v="Haryana"/>
    <s v="India"/>
  </r>
  <r>
    <x v="13"/>
    <s v="Simran Kaur"/>
    <s v="simran@gmail.com"/>
    <n v="9876543223"/>
    <s v="React"/>
    <n v="2"/>
    <x v="0"/>
    <s v="Chandigarh"/>
    <s v="Chandigarh (UT)"/>
    <s v="India"/>
  </r>
  <r>
    <x v="14"/>
    <s v="Arjun Malhotra"/>
    <s v="arjun@gmail.com"/>
    <n v="9876543224"/>
    <s v="Python"/>
    <n v="1"/>
    <x v="0"/>
    <s v="Delhi"/>
    <s v="Delhi (NCT)"/>
    <s v="India"/>
  </r>
  <r>
    <x v="15"/>
    <s v="Riya Das"/>
    <s v="riya@gmail.com"/>
    <n v="9876543225"/>
    <s v="Tableau"/>
    <n v="2"/>
    <x v="1"/>
    <s v="Kolkata"/>
    <s v="West Bengal"/>
    <s v="India"/>
  </r>
  <r>
    <x v="16"/>
    <s v="Mohit Aggarwal"/>
    <s v="mohit@gmail.com"/>
    <n v="9876543226"/>
    <s v="SQL"/>
    <n v="4"/>
    <x v="4"/>
    <s v="Faridabad"/>
    <s v="Haryana"/>
    <s v="India"/>
  </r>
  <r>
    <x v="17"/>
    <s v="Pankaj Mishra"/>
    <s v="pankaj@gmail.com"/>
    <n v="9876543227"/>
    <s v="Java"/>
    <n v="3"/>
    <x v="2"/>
    <s v="Bhopal"/>
    <s v="Madhya Pradesh"/>
    <s v="India"/>
  </r>
  <r>
    <x v="18"/>
    <s v="Tanya Roy"/>
    <s v="tanya@gmail.com"/>
    <n v="9876543228"/>
    <s v="Excel"/>
    <n v="2"/>
    <x v="3"/>
    <s v="Ranchi"/>
    <s v="Jharkhand"/>
    <s v="India"/>
  </r>
  <r>
    <x v="19"/>
    <s v="Deepak Soni"/>
    <s v="deepak@gmail.com"/>
    <n v="9876543229"/>
    <s v="Power BI"/>
    <n v="1"/>
    <x v="0"/>
    <s v="Udaipur"/>
    <s v="Rajasthan"/>
    <s v="India"/>
  </r>
  <r>
    <x v="20"/>
    <s v="Shalini Verma"/>
    <s v="shalini@gmail.com"/>
    <n v="9876543230"/>
    <s v="SQL"/>
    <n v="2"/>
    <x v="1"/>
    <s v="Noida"/>
    <s v="Uttar Pradesh"/>
    <s v="India"/>
  </r>
  <r>
    <x v="21"/>
    <s v="Varun Kapoor"/>
    <s v="varun@gmail.com"/>
    <n v="9876543231"/>
    <s v="Python"/>
    <n v="3"/>
    <x v="4"/>
    <s v="Delhi"/>
    <s v="Delhi (NCT)"/>
    <s v="India"/>
  </r>
  <r>
    <x v="22"/>
    <s v="Isha Khanna"/>
    <s v="isha@gmail.com"/>
    <n v="9876543232"/>
    <s v="Tableau"/>
    <n v="1"/>
    <x v="0"/>
    <s v="Mumbai"/>
    <s v="Maharashtra"/>
    <s v="India"/>
  </r>
  <r>
    <x v="23"/>
    <s v="Rahul Joshi"/>
    <s v="rahul@gmail.com"/>
    <n v="9876543233"/>
    <s v="Java"/>
    <n v="4"/>
    <x v="2"/>
    <s v="Pune"/>
    <s v="Maharashtra"/>
    <s v="India"/>
  </r>
  <r>
    <x v="24"/>
    <s v="Nisha Arora"/>
    <s v="nisha@gmail.com"/>
    <n v="9876543234"/>
    <s v="SQL"/>
    <n v="2"/>
    <x v="4"/>
    <s v="Gurgaon"/>
    <s v="Haryana"/>
    <s v="Ind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APP001"/>
    <s v="C001"/>
    <s v="J001"/>
    <d v="2024-10-01T00:00:00"/>
    <x v="0"/>
    <x v="0"/>
  </r>
  <r>
    <s v="APP002"/>
    <s v="C002"/>
    <s v="J001"/>
    <d v="2024-09-03T00:00:00"/>
    <x v="1"/>
    <x v="1"/>
  </r>
  <r>
    <s v="APP003"/>
    <s v="C003"/>
    <s v="J002"/>
    <d v="2024-08-05T00:00:00"/>
    <x v="2"/>
    <x v="0"/>
  </r>
  <r>
    <s v="APP004"/>
    <s v="C004"/>
    <s v="J013"/>
    <d v="2024-10-03T00:00:00"/>
    <x v="3"/>
    <x v="2"/>
  </r>
  <r>
    <s v="APP005"/>
    <s v="C005"/>
    <s v="J002"/>
    <d v="2024-10-03T00:00:00"/>
    <x v="0"/>
    <x v="0"/>
  </r>
  <r>
    <s v="APP006"/>
    <s v="C006"/>
    <s v="J011"/>
    <d v="2024-10-04T00:00:00"/>
    <x v="1"/>
    <x v="3"/>
  </r>
  <r>
    <s v="APP007"/>
    <s v="C007"/>
    <s v="J004"/>
    <d v="2024-10-04T00:00:00"/>
    <x v="4"/>
    <x v="2"/>
  </r>
  <r>
    <s v="APP008"/>
    <s v="C008"/>
    <s v="J003"/>
    <d v="2024-10-05T00:00:00"/>
    <x v="0"/>
    <x v="1"/>
  </r>
  <r>
    <s v="APP009"/>
    <s v="C009"/>
    <s v="J005"/>
    <d v="2024-10-05T00:00:00"/>
    <x v="2"/>
    <x v="0"/>
  </r>
  <r>
    <s v="APP010"/>
    <s v="C010"/>
    <s v="J014"/>
    <d v="2024-10-06T00:00:00"/>
    <x v="3"/>
    <x v="3"/>
  </r>
  <r>
    <s v="APP011"/>
    <s v="C011"/>
    <s v="J002"/>
    <d v="2024-10-06T00:00:00"/>
    <x v="0"/>
    <x v="0"/>
  </r>
  <r>
    <s v="APP012"/>
    <s v="C012"/>
    <s v="J005"/>
    <d v="2024-08-15T00:00:00"/>
    <x v="1"/>
    <x v="2"/>
  </r>
  <r>
    <s v="APP013"/>
    <s v="C013"/>
    <s v="J003"/>
    <d v="2024-10-07T00:00:00"/>
    <x v="4"/>
    <x v="1"/>
  </r>
  <r>
    <s v="APP014"/>
    <s v="C014"/>
    <s v="J001"/>
    <d v="2024-10-08T00:00:00"/>
    <x v="2"/>
    <x v="0"/>
  </r>
  <r>
    <s v="APP015"/>
    <s v="C015"/>
    <s v="J004"/>
    <d v="2024-10-08T00:00:00"/>
    <x v="0"/>
    <x v="3"/>
  </r>
  <r>
    <s v="APP016"/>
    <s v="C016"/>
    <s v="J002"/>
    <d v="2024-10-09T00:00:00"/>
    <x v="3"/>
    <x v="0"/>
  </r>
  <r>
    <s v="APP017"/>
    <s v="C017"/>
    <s v="J015"/>
    <d v="2024-10-09T00:00:00"/>
    <x v="0"/>
    <x v="1"/>
  </r>
  <r>
    <s v="APP018"/>
    <s v="C018"/>
    <s v="J003"/>
    <d v="2024-10-10T00:00:00"/>
    <x v="1"/>
    <x v="2"/>
  </r>
  <r>
    <s v="APP019"/>
    <s v="C019"/>
    <s v="J004"/>
    <d v="2024-09-30T00:00:00"/>
    <x v="2"/>
    <x v="0"/>
  </r>
  <r>
    <s v="APP020"/>
    <s v="C020"/>
    <s v="J001"/>
    <d v="2024-10-11T00:00:00"/>
    <x v="4"/>
    <x v="3"/>
  </r>
  <r>
    <s v="APP021"/>
    <s v="C021"/>
    <s v="J002"/>
    <d v="2024-10-11T00:00:00"/>
    <x v="0"/>
    <x v="0"/>
  </r>
  <r>
    <s v="APP022"/>
    <s v="C022"/>
    <s v="J003"/>
    <d v="2024-10-12T00:00:00"/>
    <x v="3"/>
    <x v="1"/>
  </r>
  <r>
    <s v="APP023"/>
    <s v="C023"/>
    <s v="J005"/>
    <d v="2024-09-24T00:00:00"/>
    <x v="1"/>
    <x v="2"/>
  </r>
  <r>
    <s v="APP024"/>
    <s v="C024"/>
    <s v="J014"/>
    <d v="2024-10-13T00:00:00"/>
    <x v="0"/>
    <x v="3"/>
  </r>
  <r>
    <s v="APP025"/>
    <s v="C025"/>
    <s v="J001"/>
    <d v="2024-10-13T00:00:00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J001"/>
    <x v="0"/>
    <s v="Analytics"/>
    <s v="SQL"/>
    <n v="1"/>
    <x v="0"/>
    <s v="Open"/>
  </r>
  <r>
    <s v="J002"/>
    <x v="1"/>
    <s v="Analytics"/>
    <s v="Python"/>
    <n v="2"/>
    <x v="1"/>
    <s v="Open"/>
  </r>
  <r>
    <s v="J003"/>
    <x v="2"/>
    <s v="IT"/>
    <s v="Java"/>
    <n v="3"/>
    <x v="2"/>
    <s v="Closed"/>
  </r>
  <r>
    <s v="J004"/>
    <x v="3"/>
    <s v="IT"/>
    <s v="React"/>
    <n v="2"/>
    <x v="0"/>
    <s v="Open"/>
  </r>
  <r>
    <s v="J005"/>
    <x v="4"/>
    <s v="Operations"/>
    <s v="Excel"/>
    <n v="1"/>
    <x v="3"/>
    <s v="Open"/>
  </r>
  <r>
    <s v="J006"/>
    <x v="5"/>
    <s v="Analytics"/>
    <s v="Tableau"/>
    <n v="2"/>
    <x v="4"/>
    <s v="Closed"/>
  </r>
  <r>
    <s v="J007"/>
    <x v="6"/>
    <s v="IT"/>
    <s v="Python"/>
    <n v="3"/>
    <x v="5"/>
    <s v="Open"/>
  </r>
  <r>
    <s v="J008"/>
    <x v="7"/>
    <s v="Product"/>
    <s v="SQL"/>
    <n v="2"/>
    <x v="6"/>
    <s v="Open"/>
  </r>
  <r>
    <s v="J009"/>
    <x v="8"/>
    <s v="IT"/>
    <s v="Java"/>
    <n v="2"/>
    <x v="7"/>
    <s v="Closed"/>
  </r>
  <r>
    <s v="J010"/>
    <x v="9"/>
    <s v="Operations"/>
    <s v="Power BI"/>
    <n v="1"/>
    <x v="0"/>
    <s v="Open"/>
  </r>
  <r>
    <s v="J011"/>
    <x v="10"/>
    <s v="Analytics"/>
    <s v="SQL"/>
    <n v="0"/>
    <x v="2"/>
    <s v="Open"/>
  </r>
  <r>
    <s v="J012"/>
    <x v="11"/>
    <s v="Analytics"/>
    <s v="Excel"/>
    <n v="1"/>
    <x v="8"/>
    <s v="Open"/>
  </r>
  <r>
    <s v="J013"/>
    <x v="12"/>
    <s v="Analytics"/>
    <s v="Python"/>
    <n v="4"/>
    <x v="1"/>
    <s v="Closed"/>
  </r>
  <r>
    <s v="J014"/>
    <x v="13"/>
    <s v="IT"/>
    <s v="Node.js"/>
    <n v="2"/>
    <x v="6"/>
    <s v="Open"/>
  </r>
  <r>
    <s v="J015"/>
    <x v="14"/>
    <s v="Analytics"/>
    <s v="Tableau"/>
    <n v="0"/>
    <x v="3"/>
    <s v="Op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B322E-BBFA-440E-A262-B04386405376}" name="PivotTable2" cacheId="20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E4:F10" firstHeaderRow="1" firstDataRow="1" firstDataCol="1"/>
  <pivotFields count="10">
    <pivotField dataField="1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ndidate_ID" fld="0" subtotal="count" baseField="0" baseItem="0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6" type="button" dataOnly="0" labelOnly="1" outline="0" axis="axisRow" fieldPosition="0"/>
    </format>
    <format dxfId="15">
      <pivotArea dataOnly="0" labelOnly="1" outline="0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885DE-D5E5-4903-8936-55A1E88E0D65}" name="PivotTable6" cacheId="20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K4:L14" firstHeaderRow="1" firstDataRow="1" firstDataCol="1"/>
  <pivotFields count="7">
    <pivotField dataField="1" compact="0" outline="0" showAll="0"/>
    <pivotField compact="0" outline="0" showAll="0">
      <items count="16">
        <item x="14"/>
        <item x="2"/>
        <item x="5"/>
        <item x="0"/>
        <item x="10"/>
        <item x="1"/>
        <item x="6"/>
        <item x="12"/>
        <item x="3"/>
        <item x="11"/>
        <item x="4"/>
        <item x="7"/>
        <item x="9"/>
        <item x="8"/>
        <item x="1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0">
        <item x="0"/>
        <item x="4"/>
        <item x="1"/>
        <item x="6"/>
        <item x="5"/>
        <item x="8"/>
        <item x="3"/>
        <item x="7"/>
        <item x="2"/>
        <item t="default"/>
      </items>
    </pivotField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Job_ID" fld="0" subtotal="count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5" type="button" dataOnly="0" labelOnly="1" outline="0" axis="axisRow" fieldPosition="0"/>
    </format>
    <format dxfId="9">
      <pivotArea dataOnly="0" labelOnly="1" outline="0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85CC8-69D3-48A8-9742-075195C0B131}" name="PivotTable5" cacheId="20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H4:I9" firstHeaderRow="1" firstDataRow="1" firstDataCol="1"/>
  <pivotFields count="6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6">
        <item x="0"/>
        <item x="3"/>
        <item x="2"/>
        <item x="4"/>
        <item x="1"/>
        <item t="default"/>
      </items>
    </pivotField>
    <pivotField axis="axisRow" compact="0" outline="0" showAll="0">
      <items count="5">
        <item x="1"/>
        <item x="3"/>
        <item x="0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lication_ID" fld="0" subtotal="count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5" type="button" dataOnly="0" labelOnly="1" outline="0" axis="axisRow" fieldPosition="0"/>
    </format>
    <format dxfId="3">
      <pivotArea dataOnly="0" labelOnly="1" outline="0" fieldPosition="0">
        <references count="1">
          <reference field="5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pplication_Status" xr10:uid="{BC2D1D3B-D4F7-483D-A0B3-E4D637507157}" sourceName="Application_Status">
  <pivotTables>
    <pivotTable tabId="6" name="PivotTable2"/>
  </pivotTables>
  <data>
    <tabular pivotCacheId="2001448913">
      <items count="5">
        <i x="0" s="1"/>
        <i x="2" s="1"/>
        <i x="3" s="1"/>
        <i x="4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ource" xr10:uid="{8215F1B3-E6AA-45F3-9E82-77F33C1F9AC4}" sourceName="Source">
  <pivotTables>
    <pivotTable tabId="6" name="PivotTable5"/>
  </pivotTables>
  <data>
    <tabular pivotCacheId="1271150874">
      <items count="4">
        <i x="1" s="1"/>
        <i x="3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Job_Title" xr10:uid="{C2DE8AD8-9C13-49B6-BDCF-1263605E4115}" sourceName="Job_Title">
  <pivotTables>
    <pivotTable tabId="6" name="PivotTable6"/>
  </pivotTables>
  <data>
    <tabular pivotCacheId="1873739735">
      <items count="15">
        <i x="14" s="1"/>
        <i x="2" s="1"/>
        <i x="5" s="1"/>
        <i x="0" s="1"/>
        <i x="10" s="1"/>
        <i x="1" s="1"/>
        <i x="6" s="1"/>
        <i x="12" s="1"/>
        <i x="3" s="1"/>
        <i x="11" s="1"/>
        <i x="4" s="1"/>
        <i x="7" s="1"/>
        <i x="9" s="1"/>
        <i x="8" s="1"/>
        <i x="1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pplication_Status 1" xr10:uid="{D310A6BA-64B7-4A10-AC1B-646A93E2AD3B}" cache="Slicer_Application_Status" caption="Application_Status" startItem="1" rowHeight="228600"/>
  <slicer name="Source 1" xr10:uid="{7A7D74C1-86C5-449D-BB35-A8E5B72B1C33}" cache="Slicer_Source" caption="Source" rowHeight="228600"/>
  <slicer name="Job_Title 1" xr10:uid="{89584D90-5119-4186-95DC-72EDC5E4DE03}" cache="Slicer_Job_Title" caption="Job_Titl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gmail.com" TargetMode="External"/><Relationship Id="rId13" Type="http://schemas.openxmlformats.org/officeDocument/2006/relationships/hyperlink" Target="mailto:nitin@gmail.com" TargetMode="External"/><Relationship Id="rId18" Type="http://schemas.openxmlformats.org/officeDocument/2006/relationships/hyperlink" Target="mailto:pankaj@gmail.com" TargetMode="External"/><Relationship Id="rId3" Type="http://schemas.openxmlformats.org/officeDocument/2006/relationships/hyperlink" Target="mailto:rohit@gmail.com" TargetMode="External"/><Relationship Id="rId21" Type="http://schemas.openxmlformats.org/officeDocument/2006/relationships/hyperlink" Target="mailto:shalini@gmail.com" TargetMode="External"/><Relationship Id="rId7" Type="http://schemas.openxmlformats.org/officeDocument/2006/relationships/hyperlink" Target="mailto:kunal@gmail.com" TargetMode="External"/><Relationship Id="rId12" Type="http://schemas.openxmlformats.org/officeDocument/2006/relationships/hyperlink" Target="mailto:kavya@gmail.com" TargetMode="External"/><Relationship Id="rId17" Type="http://schemas.openxmlformats.org/officeDocument/2006/relationships/hyperlink" Target="mailto:mohit@gmail.com" TargetMode="External"/><Relationship Id="rId25" Type="http://schemas.openxmlformats.org/officeDocument/2006/relationships/hyperlink" Target="mailto:nisha@gmail.com" TargetMode="External"/><Relationship Id="rId2" Type="http://schemas.openxmlformats.org/officeDocument/2006/relationships/hyperlink" Target="mailto:priya@gmail.com" TargetMode="External"/><Relationship Id="rId16" Type="http://schemas.openxmlformats.org/officeDocument/2006/relationships/hyperlink" Target="mailto:riya@gmail.com" TargetMode="External"/><Relationship Id="rId20" Type="http://schemas.openxmlformats.org/officeDocument/2006/relationships/hyperlink" Target="mailto:deepak@gmail.com" TargetMode="External"/><Relationship Id="rId1" Type="http://schemas.openxmlformats.org/officeDocument/2006/relationships/hyperlink" Target="mailto:ankit@gmail.com" TargetMode="External"/><Relationship Id="rId6" Type="http://schemas.openxmlformats.org/officeDocument/2006/relationships/hyperlink" Target="mailto:sneha@gmail.com" TargetMode="External"/><Relationship Id="rId11" Type="http://schemas.openxmlformats.org/officeDocument/2006/relationships/hyperlink" Target="mailto:suresh@gmail.com" TargetMode="External"/><Relationship Id="rId24" Type="http://schemas.openxmlformats.org/officeDocument/2006/relationships/hyperlink" Target="mailto:rahul@gmail.com" TargetMode="External"/><Relationship Id="rId5" Type="http://schemas.openxmlformats.org/officeDocument/2006/relationships/hyperlink" Target="mailto:aman@gmail.com" TargetMode="External"/><Relationship Id="rId15" Type="http://schemas.openxmlformats.org/officeDocument/2006/relationships/hyperlink" Target="mailto:arjun@gmail.com" TargetMode="External"/><Relationship Id="rId23" Type="http://schemas.openxmlformats.org/officeDocument/2006/relationships/hyperlink" Target="mailto:isha@gmail.com" TargetMode="External"/><Relationship Id="rId10" Type="http://schemas.openxmlformats.org/officeDocument/2006/relationships/hyperlink" Target="mailto:aditi@gmail.com" TargetMode="External"/><Relationship Id="rId19" Type="http://schemas.openxmlformats.org/officeDocument/2006/relationships/hyperlink" Target="mailto:tanya@gmail.com" TargetMode="External"/><Relationship Id="rId4" Type="http://schemas.openxmlformats.org/officeDocument/2006/relationships/hyperlink" Target="mailto:neha@gmail.com" TargetMode="External"/><Relationship Id="rId9" Type="http://schemas.openxmlformats.org/officeDocument/2006/relationships/hyperlink" Target="mailto:rakesh@gmail.com" TargetMode="External"/><Relationship Id="rId14" Type="http://schemas.openxmlformats.org/officeDocument/2006/relationships/hyperlink" Target="mailto:simran@gmail.com" TargetMode="External"/><Relationship Id="rId22" Type="http://schemas.openxmlformats.org/officeDocument/2006/relationships/hyperlink" Target="mailto:varun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L14" sqref="L14"/>
    </sheetView>
  </sheetViews>
  <sheetFormatPr defaultRowHeight="15"/>
  <cols>
    <col min="1" max="1" width="16" customWidth="1"/>
    <col min="2" max="2" width="18" customWidth="1"/>
    <col min="3" max="3" width="17.28515625" customWidth="1"/>
    <col min="4" max="4" width="15.42578125" customWidth="1"/>
    <col min="5" max="5" width="12.5703125" customWidth="1"/>
    <col min="6" max="6" width="17.7109375" customWidth="1"/>
    <col min="7" max="7" width="18.85546875" customWidth="1"/>
    <col min="8" max="8" width="15" customWidth="1"/>
    <col min="9" max="9" width="20.28515625" bestFit="1" customWidth="1"/>
    <col min="11" max="11" width="20.7109375" bestFit="1" customWidth="1"/>
    <col min="12" max="12" width="20.85546875" bestFit="1" customWidth="1"/>
    <col min="13" max="13" width="21" customWidth="1"/>
  </cols>
  <sheetData>
    <row r="1" spans="1:1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>
      <c r="A2" s="15" t="s">
        <v>10</v>
      </c>
      <c r="B2" s="15" t="s">
        <v>11</v>
      </c>
      <c r="C2" s="16" t="s">
        <v>12</v>
      </c>
      <c r="D2" s="15">
        <v>9876543210</v>
      </c>
      <c r="E2" s="15" t="s">
        <v>13</v>
      </c>
      <c r="F2" s="15">
        <v>2</v>
      </c>
      <c r="G2" s="15" t="s">
        <v>14</v>
      </c>
      <c r="H2" s="15" t="s">
        <v>15</v>
      </c>
      <c r="I2" s="15" t="s">
        <v>16</v>
      </c>
      <c r="J2" s="15" t="s">
        <v>17</v>
      </c>
    </row>
    <row r="3" spans="1:10">
      <c r="A3" s="15" t="s">
        <v>18</v>
      </c>
      <c r="B3" s="15" t="s">
        <v>19</v>
      </c>
      <c r="C3" s="16" t="s">
        <v>20</v>
      </c>
      <c r="D3" s="15">
        <v>9876543211</v>
      </c>
      <c r="E3" s="15" t="s">
        <v>21</v>
      </c>
      <c r="F3" s="15">
        <v>1</v>
      </c>
      <c r="G3" s="15" t="s">
        <v>22</v>
      </c>
      <c r="H3" s="15" t="s">
        <v>23</v>
      </c>
      <c r="I3" s="15" t="s">
        <v>24</v>
      </c>
      <c r="J3" s="15" t="s">
        <v>17</v>
      </c>
    </row>
    <row r="4" spans="1:10">
      <c r="A4" s="15" t="s">
        <v>25</v>
      </c>
      <c r="B4" s="15" t="s">
        <v>26</v>
      </c>
      <c r="C4" s="16" t="s">
        <v>27</v>
      </c>
      <c r="D4" s="15">
        <v>9876543212</v>
      </c>
      <c r="E4" s="15" t="s">
        <v>28</v>
      </c>
      <c r="F4" s="15">
        <v>3</v>
      </c>
      <c r="G4" s="15" t="s">
        <v>29</v>
      </c>
      <c r="H4" s="15" t="s">
        <v>30</v>
      </c>
      <c r="I4" s="15" t="s">
        <v>31</v>
      </c>
      <c r="J4" s="15" t="s">
        <v>17</v>
      </c>
    </row>
    <row r="5" spans="1:10">
      <c r="A5" s="15" t="s">
        <v>32</v>
      </c>
      <c r="B5" s="15" t="s">
        <v>33</v>
      </c>
      <c r="C5" s="16" t="s">
        <v>34</v>
      </c>
      <c r="D5" s="15">
        <v>9876543213</v>
      </c>
      <c r="E5" s="15" t="s">
        <v>35</v>
      </c>
      <c r="F5" s="15">
        <v>0</v>
      </c>
      <c r="G5" s="15" t="s">
        <v>36</v>
      </c>
      <c r="H5" s="15" t="s">
        <v>37</v>
      </c>
      <c r="I5" s="15" t="s">
        <v>24</v>
      </c>
      <c r="J5" s="15" t="s">
        <v>17</v>
      </c>
    </row>
    <row r="6" spans="1:10">
      <c r="A6" s="15" t="s">
        <v>38</v>
      </c>
      <c r="B6" s="15" t="s">
        <v>39</v>
      </c>
      <c r="C6" s="16" t="s">
        <v>40</v>
      </c>
      <c r="D6" s="15">
        <v>9876543214</v>
      </c>
      <c r="E6" s="15" t="s">
        <v>41</v>
      </c>
      <c r="F6" s="15">
        <v>2</v>
      </c>
      <c r="G6" s="15" t="s">
        <v>42</v>
      </c>
      <c r="H6" s="15" t="s">
        <v>43</v>
      </c>
      <c r="I6" s="15" t="s">
        <v>44</v>
      </c>
      <c r="J6" s="15" t="s">
        <v>17</v>
      </c>
    </row>
    <row r="7" spans="1:10">
      <c r="A7" s="15" t="s">
        <v>45</v>
      </c>
      <c r="B7" s="15" t="s">
        <v>46</v>
      </c>
      <c r="C7" s="16" t="s">
        <v>47</v>
      </c>
      <c r="D7" s="15">
        <v>9876543215</v>
      </c>
      <c r="E7" s="15" t="s">
        <v>48</v>
      </c>
      <c r="F7" s="15">
        <v>1</v>
      </c>
      <c r="G7" s="15" t="s">
        <v>14</v>
      </c>
      <c r="H7" s="15" t="s">
        <v>49</v>
      </c>
      <c r="I7" s="15" t="s">
        <v>50</v>
      </c>
      <c r="J7" s="15" t="s">
        <v>17</v>
      </c>
    </row>
    <row r="8" spans="1:10">
      <c r="A8" s="15" t="s">
        <v>51</v>
      </c>
      <c r="B8" s="15" t="s">
        <v>52</v>
      </c>
      <c r="C8" s="16" t="s">
        <v>53</v>
      </c>
      <c r="D8" s="15">
        <v>9876543216</v>
      </c>
      <c r="E8" s="15" t="s">
        <v>54</v>
      </c>
      <c r="F8" s="15">
        <v>2</v>
      </c>
      <c r="G8" s="15" t="s">
        <v>22</v>
      </c>
      <c r="H8" s="15" t="s">
        <v>15</v>
      </c>
      <c r="I8" s="15" t="s">
        <v>16</v>
      </c>
      <c r="J8" s="15" t="s">
        <v>17</v>
      </c>
    </row>
    <row r="9" spans="1:10">
      <c r="A9" s="15" t="s">
        <v>55</v>
      </c>
      <c r="B9" s="15" t="s">
        <v>56</v>
      </c>
      <c r="C9" s="16" t="s">
        <v>57</v>
      </c>
      <c r="D9" s="15">
        <v>9876543217</v>
      </c>
      <c r="E9" s="15" t="s">
        <v>21</v>
      </c>
      <c r="F9" s="15">
        <v>3</v>
      </c>
      <c r="G9" s="15" t="s">
        <v>29</v>
      </c>
      <c r="H9" s="15" t="s">
        <v>58</v>
      </c>
      <c r="I9" s="15" t="s">
        <v>59</v>
      </c>
      <c r="J9" s="15" t="s">
        <v>17</v>
      </c>
    </row>
    <row r="10" spans="1:10">
      <c r="A10" s="15" t="s">
        <v>60</v>
      </c>
      <c r="B10" s="15" t="s">
        <v>61</v>
      </c>
      <c r="C10" s="16" t="s">
        <v>62</v>
      </c>
      <c r="D10" s="15">
        <v>9876543218</v>
      </c>
      <c r="E10" s="15" t="s">
        <v>28</v>
      </c>
      <c r="F10" s="15">
        <v>4</v>
      </c>
      <c r="G10" s="15" t="s">
        <v>42</v>
      </c>
      <c r="H10" s="15" t="s">
        <v>63</v>
      </c>
      <c r="I10" s="15" t="s">
        <v>64</v>
      </c>
      <c r="J10" s="15" t="s">
        <v>17</v>
      </c>
    </row>
    <row r="11" spans="1:10">
      <c r="A11" s="15" t="s">
        <v>65</v>
      </c>
      <c r="B11" s="15" t="s">
        <v>66</v>
      </c>
      <c r="C11" s="16" t="s">
        <v>67</v>
      </c>
      <c r="D11" s="15">
        <v>9876543219</v>
      </c>
      <c r="E11" s="15" t="s">
        <v>35</v>
      </c>
      <c r="F11" s="15">
        <v>1</v>
      </c>
      <c r="G11" s="15" t="s">
        <v>14</v>
      </c>
      <c r="H11" s="15" t="s">
        <v>68</v>
      </c>
      <c r="I11" s="15" t="s">
        <v>69</v>
      </c>
      <c r="J11" s="15" t="s">
        <v>17</v>
      </c>
    </row>
    <row r="12" spans="1:10">
      <c r="A12" s="15" t="s">
        <v>70</v>
      </c>
      <c r="B12" s="15" t="s">
        <v>71</v>
      </c>
      <c r="C12" s="16" t="s">
        <v>72</v>
      </c>
      <c r="D12" s="15">
        <v>9876543220</v>
      </c>
      <c r="E12" s="15" t="s">
        <v>13</v>
      </c>
      <c r="F12" s="15">
        <v>5</v>
      </c>
      <c r="G12" s="15" t="s">
        <v>29</v>
      </c>
      <c r="H12" s="15" t="s">
        <v>73</v>
      </c>
      <c r="I12" s="15" t="s">
        <v>74</v>
      </c>
      <c r="J12" s="15" t="s">
        <v>17</v>
      </c>
    </row>
    <row r="13" spans="1:10">
      <c r="A13" s="15" t="s">
        <v>75</v>
      </c>
      <c r="B13" s="15" t="s">
        <v>76</v>
      </c>
      <c r="C13" s="16" t="s">
        <v>77</v>
      </c>
      <c r="D13" s="15">
        <v>9876543221</v>
      </c>
      <c r="E13" s="15" t="s">
        <v>21</v>
      </c>
      <c r="F13" s="15">
        <v>2</v>
      </c>
      <c r="G13" s="15" t="s">
        <v>22</v>
      </c>
      <c r="H13" s="15" t="s">
        <v>78</v>
      </c>
      <c r="I13" s="15" t="s">
        <v>79</v>
      </c>
      <c r="J13" s="15" t="s">
        <v>17</v>
      </c>
    </row>
    <row r="14" spans="1:10">
      <c r="A14" s="15" t="s">
        <v>80</v>
      </c>
      <c r="B14" s="15" t="s">
        <v>81</v>
      </c>
      <c r="C14" s="16" t="s">
        <v>82</v>
      </c>
      <c r="D14" s="15">
        <v>9876543222</v>
      </c>
      <c r="E14" s="15" t="s">
        <v>83</v>
      </c>
      <c r="F14" s="15">
        <v>3</v>
      </c>
      <c r="G14" s="15" t="s">
        <v>36</v>
      </c>
      <c r="H14" s="15" t="s">
        <v>84</v>
      </c>
      <c r="I14" s="15" t="s">
        <v>85</v>
      </c>
      <c r="J14" s="15" t="s">
        <v>17</v>
      </c>
    </row>
    <row r="15" spans="1:10">
      <c r="A15" s="15" t="s">
        <v>86</v>
      </c>
      <c r="B15" s="15" t="s">
        <v>87</v>
      </c>
      <c r="C15" s="16" t="s">
        <v>88</v>
      </c>
      <c r="D15" s="15">
        <v>9876543223</v>
      </c>
      <c r="E15" s="15" t="s">
        <v>41</v>
      </c>
      <c r="F15" s="15">
        <v>2</v>
      </c>
      <c r="G15" s="15" t="s">
        <v>14</v>
      </c>
      <c r="H15" s="15" t="s">
        <v>89</v>
      </c>
      <c r="I15" s="15" t="s">
        <v>90</v>
      </c>
      <c r="J15" s="15" t="s">
        <v>17</v>
      </c>
    </row>
    <row r="16" spans="1:10">
      <c r="A16" s="15" t="s">
        <v>91</v>
      </c>
      <c r="B16" s="15" t="s">
        <v>92</v>
      </c>
      <c r="C16" s="16" t="s">
        <v>93</v>
      </c>
      <c r="D16" s="15">
        <v>9876543224</v>
      </c>
      <c r="E16" s="15" t="s">
        <v>28</v>
      </c>
      <c r="F16" s="15">
        <v>1</v>
      </c>
      <c r="G16" s="15" t="s">
        <v>14</v>
      </c>
      <c r="H16" s="15" t="s">
        <v>30</v>
      </c>
      <c r="I16" s="15" t="s">
        <v>31</v>
      </c>
      <c r="J16" s="15" t="s">
        <v>17</v>
      </c>
    </row>
    <row r="17" spans="1:10">
      <c r="A17" s="15" t="s">
        <v>94</v>
      </c>
      <c r="B17" s="15" t="s">
        <v>95</v>
      </c>
      <c r="C17" s="16" t="s">
        <v>96</v>
      </c>
      <c r="D17" s="15">
        <v>9876543225</v>
      </c>
      <c r="E17" s="15" t="s">
        <v>48</v>
      </c>
      <c r="F17" s="15">
        <v>2</v>
      </c>
      <c r="G17" s="15" t="s">
        <v>22</v>
      </c>
      <c r="H17" s="15" t="s">
        <v>97</v>
      </c>
      <c r="I17" s="15" t="s">
        <v>98</v>
      </c>
      <c r="J17" s="15" t="s">
        <v>17</v>
      </c>
    </row>
    <row r="18" spans="1:10">
      <c r="A18" s="15" t="s">
        <v>99</v>
      </c>
      <c r="B18" s="15" t="s">
        <v>100</v>
      </c>
      <c r="C18" s="16" t="s">
        <v>101</v>
      </c>
      <c r="D18" s="15">
        <v>9876543226</v>
      </c>
      <c r="E18" s="15" t="s">
        <v>21</v>
      </c>
      <c r="F18" s="15">
        <v>4</v>
      </c>
      <c r="G18" s="15" t="s">
        <v>42</v>
      </c>
      <c r="H18" s="15" t="s">
        <v>102</v>
      </c>
      <c r="I18" s="15" t="s">
        <v>85</v>
      </c>
      <c r="J18" s="15" t="s">
        <v>17</v>
      </c>
    </row>
    <row r="19" spans="1:10">
      <c r="A19" s="15" t="s">
        <v>103</v>
      </c>
      <c r="B19" s="15" t="s">
        <v>104</v>
      </c>
      <c r="C19" s="16" t="s">
        <v>105</v>
      </c>
      <c r="D19" s="15">
        <v>9876543227</v>
      </c>
      <c r="E19" s="15" t="s">
        <v>13</v>
      </c>
      <c r="F19" s="15">
        <v>3</v>
      </c>
      <c r="G19" s="15" t="s">
        <v>29</v>
      </c>
      <c r="H19" s="15" t="s">
        <v>106</v>
      </c>
      <c r="I19" s="15" t="s">
        <v>74</v>
      </c>
      <c r="J19" s="15" t="s">
        <v>17</v>
      </c>
    </row>
    <row r="20" spans="1:10">
      <c r="A20" s="15" t="s">
        <v>107</v>
      </c>
      <c r="B20" s="15" t="s">
        <v>108</v>
      </c>
      <c r="C20" s="16" t="s">
        <v>109</v>
      </c>
      <c r="D20" s="15">
        <v>9876543228</v>
      </c>
      <c r="E20" s="15" t="s">
        <v>35</v>
      </c>
      <c r="F20" s="15">
        <v>2</v>
      </c>
      <c r="G20" s="15" t="s">
        <v>36</v>
      </c>
      <c r="H20" s="15" t="s">
        <v>110</v>
      </c>
      <c r="I20" s="15" t="s">
        <v>111</v>
      </c>
      <c r="J20" s="15" t="s">
        <v>17</v>
      </c>
    </row>
    <row r="21" spans="1:10" ht="29.25">
      <c r="A21" s="15" t="s">
        <v>112</v>
      </c>
      <c r="B21" s="15" t="s">
        <v>113</v>
      </c>
      <c r="C21" s="16" t="s">
        <v>114</v>
      </c>
      <c r="D21" s="15">
        <v>9876543229</v>
      </c>
      <c r="E21" s="15" t="s">
        <v>54</v>
      </c>
      <c r="F21" s="15">
        <v>1</v>
      </c>
      <c r="G21" s="15" t="s">
        <v>14</v>
      </c>
      <c r="H21" s="15" t="s">
        <v>115</v>
      </c>
      <c r="I21" s="15" t="s">
        <v>79</v>
      </c>
      <c r="J21" s="15" t="s">
        <v>17</v>
      </c>
    </row>
    <row r="22" spans="1:10">
      <c r="A22" s="15" t="s">
        <v>116</v>
      </c>
      <c r="B22" s="15" t="s">
        <v>117</v>
      </c>
      <c r="C22" s="16" t="s">
        <v>118</v>
      </c>
      <c r="D22" s="15">
        <v>9876543230</v>
      </c>
      <c r="E22" s="15" t="s">
        <v>21</v>
      </c>
      <c r="F22" s="15">
        <v>2</v>
      </c>
      <c r="G22" s="15" t="s">
        <v>22</v>
      </c>
      <c r="H22" s="15" t="s">
        <v>63</v>
      </c>
      <c r="I22" s="15" t="s">
        <v>64</v>
      </c>
      <c r="J22" s="15" t="s">
        <v>17</v>
      </c>
    </row>
    <row r="23" spans="1:10">
      <c r="A23" s="15" t="s">
        <v>119</v>
      </c>
      <c r="B23" s="15" t="s">
        <v>120</v>
      </c>
      <c r="C23" s="16" t="s">
        <v>121</v>
      </c>
      <c r="D23" s="15">
        <v>9876543231</v>
      </c>
      <c r="E23" s="15" t="s">
        <v>28</v>
      </c>
      <c r="F23" s="15">
        <v>3</v>
      </c>
      <c r="G23" s="15" t="s">
        <v>42</v>
      </c>
      <c r="H23" s="15" t="s">
        <v>30</v>
      </c>
      <c r="I23" s="15" t="s">
        <v>31</v>
      </c>
      <c r="J23" s="15" t="s">
        <v>17</v>
      </c>
    </row>
    <row r="24" spans="1:10">
      <c r="A24" s="15" t="s">
        <v>122</v>
      </c>
      <c r="B24" s="15" t="s">
        <v>123</v>
      </c>
      <c r="C24" s="16" t="s">
        <v>124</v>
      </c>
      <c r="D24" s="15">
        <v>9876543232</v>
      </c>
      <c r="E24" s="15" t="s">
        <v>48</v>
      </c>
      <c r="F24" s="15">
        <v>1</v>
      </c>
      <c r="G24" s="15" t="s">
        <v>14</v>
      </c>
      <c r="H24" s="15" t="s">
        <v>37</v>
      </c>
      <c r="I24" s="15" t="s">
        <v>24</v>
      </c>
      <c r="J24" s="15" t="s">
        <v>17</v>
      </c>
    </row>
    <row r="25" spans="1:10">
      <c r="A25" s="15" t="s">
        <v>125</v>
      </c>
      <c r="B25" s="15" t="s">
        <v>126</v>
      </c>
      <c r="C25" s="16" t="s">
        <v>127</v>
      </c>
      <c r="D25" s="15">
        <v>9876543233</v>
      </c>
      <c r="E25" s="15" t="s">
        <v>13</v>
      </c>
      <c r="F25" s="15">
        <v>4</v>
      </c>
      <c r="G25" s="15" t="s">
        <v>29</v>
      </c>
      <c r="H25" s="15" t="s">
        <v>23</v>
      </c>
      <c r="I25" s="15" t="s">
        <v>24</v>
      </c>
      <c r="J25" s="15" t="s">
        <v>17</v>
      </c>
    </row>
    <row r="26" spans="1:10">
      <c r="A26" s="15" t="s">
        <v>128</v>
      </c>
      <c r="B26" s="15" t="s">
        <v>129</v>
      </c>
      <c r="C26" s="16" t="s">
        <v>130</v>
      </c>
      <c r="D26" s="15">
        <v>9876543234</v>
      </c>
      <c r="E26" s="15" t="s">
        <v>21</v>
      </c>
      <c r="F26" s="15">
        <v>2</v>
      </c>
      <c r="G26" s="15" t="s">
        <v>42</v>
      </c>
      <c r="H26" s="15" t="s">
        <v>84</v>
      </c>
      <c r="I26" s="15" t="s">
        <v>85</v>
      </c>
      <c r="J26" s="15" t="s">
        <v>17</v>
      </c>
    </row>
  </sheetData>
  <hyperlinks>
    <hyperlink ref="C2" r:id="rId1" xr:uid="{897CFE2A-7E15-4121-9C30-92854AA5C3BF}"/>
    <hyperlink ref="C3" r:id="rId2" xr:uid="{C2601D10-B211-43CE-9139-1389D175F031}"/>
    <hyperlink ref="C4" r:id="rId3" xr:uid="{EA1241AB-B5F9-4CF7-BEA3-F9F9028CB25D}"/>
    <hyperlink ref="C5" r:id="rId4" xr:uid="{57939644-39EE-4760-A14C-F51E62CB173F}"/>
    <hyperlink ref="C6" r:id="rId5" xr:uid="{311DFDDB-C996-4FA9-B32A-6722E3F2FF9F}"/>
    <hyperlink ref="C7" r:id="rId6" xr:uid="{79747D89-4ED5-4447-B187-159454CE1F2C}"/>
    <hyperlink ref="C8" r:id="rId7" xr:uid="{D6648E1F-7789-4E35-82D8-6DE51C7311D9}"/>
    <hyperlink ref="C9" r:id="rId8" xr:uid="{81040E15-E2FE-4520-9CBD-43A65D748F98}"/>
    <hyperlink ref="C10" r:id="rId9" xr:uid="{45326962-9635-4B3A-883E-92BA35F2E862}"/>
    <hyperlink ref="C11" r:id="rId10" xr:uid="{D3D6EDF7-0857-4001-B190-6EEF9FEC3860}"/>
    <hyperlink ref="C12" r:id="rId11" xr:uid="{7531FE4E-4A68-4530-B835-4CAED3E08A8E}"/>
    <hyperlink ref="C13" r:id="rId12" xr:uid="{31E7B345-A2AF-4851-B47B-D0D227EC8D5B}"/>
    <hyperlink ref="C14" r:id="rId13" xr:uid="{2030681F-48AB-47C7-A5FE-5877B679A222}"/>
    <hyperlink ref="C15" r:id="rId14" xr:uid="{4F601DCA-8032-45DA-ABE0-B880AA8D9619}"/>
    <hyperlink ref="C16" r:id="rId15" xr:uid="{5B84E9CB-12BD-49F2-A836-CE74B0FAF7D7}"/>
    <hyperlink ref="C17" r:id="rId16" xr:uid="{D6E3DD91-EDFC-4C87-AEBA-BAC49CA32FDB}"/>
    <hyperlink ref="C18" r:id="rId17" xr:uid="{B7BF1750-07EC-4153-8E80-0B07D96BCE66}"/>
    <hyperlink ref="C19" r:id="rId18" xr:uid="{699E58A6-85E6-401A-9425-928DA7CF4CCB}"/>
    <hyperlink ref="C20" r:id="rId19" xr:uid="{3B2011C9-663C-4BF6-B2FE-2DE7E93A8327}"/>
    <hyperlink ref="C21" r:id="rId20" xr:uid="{3E6D8A37-1809-4344-B5F8-E7D0BD5612A4}"/>
    <hyperlink ref="C22" r:id="rId21" xr:uid="{DFFA880D-E7BD-4C86-9FAA-B76FEF576230}"/>
    <hyperlink ref="C23" r:id="rId22" xr:uid="{5882154B-B07C-40BB-842B-BFA7747D3DA4}"/>
    <hyperlink ref="C24" r:id="rId23" xr:uid="{D384A981-4360-4740-A07E-6576D283688F}"/>
    <hyperlink ref="C25" r:id="rId24" xr:uid="{2F6074C5-3C64-4900-9B5A-E15236AB5A49}"/>
    <hyperlink ref="C26" r:id="rId25" xr:uid="{027D1B49-D2CE-42E2-A48E-787AF145F3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DB70-A8D6-49B8-A4F7-12C0E02F00D5}">
  <dimension ref="A1:F26"/>
  <sheetViews>
    <sheetView workbookViewId="0">
      <selection sqref="A1:F26"/>
    </sheetView>
  </sheetViews>
  <sheetFormatPr defaultRowHeight="15"/>
  <cols>
    <col min="1" max="1" width="18.5703125" customWidth="1"/>
    <col min="2" max="2" width="21.42578125" customWidth="1"/>
    <col min="3" max="3" width="17.85546875" customWidth="1"/>
    <col min="4" max="4" width="19.140625" customWidth="1"/>
    <col min="5" max="5" width="22.85546875" customWidth="1"/>
    <col min="6" max="6" width="20.42578125" customWidth="1"/>
    <col min="9" max="9" width="16.42578125" bestFit="1" customWidth="1"/>
    <col min="10" max="10" width="21.7109375" bestFit="1" customWidth="1"/>
  </cols>
  <sheetData>
    <row r="1" spans="1:6">
      <c r="A1" s="14" t="s">
        <v>131</v>
      </c>
      <c r="B1" s="14" t="s">
        <v>0</v>
      </c>
      <c r="C1" s="14" t="s">
        <v>132</v>
      </c>
      <c r="D1" s="14" t="s">
        <v>133</v>
      </c>
      <c r="E1" s="14" t="s">
        <v>134</v>
      </c>
      <c r="F1" s="14" t="s">
        <v>135</v>
      </c>
    </row>
    <row r="2" spans="1:6">
      <c r="A2" s="15" t="s">
        <v>136</v>
      </c>
      <c r="B2" s="15" t="s">
        <v>10</v>
      </c>
      <c r="C2" s="15" t="s">
        <v>137</v>
      </c>
      <c r="D2" s="17">
        <v>45566</v>
      </c>
      <c r="E2" s="15" t="s">
        <v>14</v>
      </c>
      <c r="F2" s="15" t="s">
        <v>138</v>
      </c>
    </row>
    <row r="3" spans="1:6">
      <c r="A3" s="15" t="s">
        <v>139</v>
      </c>
      <c r="B3" s="15" t="s">
        <v>18</v>
      </c>
      <c r="C3" s="15" t="s">
        <v>137</v>
      </c>
      <c r="D3" s="17">
        <v>45538</v>
      </c>
      <c r="E3" s="15" t="s">
        <v>22</v>
      </c>
      <c r="F3" s="15" t="s">
        <v>140</v>
      </c>
    </row>
    <row r="4" spans="1:6">
      <c r="A4" s="15" t="s">
        <v>141</v>
      </c>
      <c r="B4" s="15" t="s">
        <v>25</v>
      </c>
      <c r="C4" s="15" t="s">
        <v>142</v>
      </c>
      <c r="D4" s="17">
        <v>45509</v>
      </c>
      <c r="E4" s="15" t="s">
        <v>36</v>
      </c>
      <c r="F4" s="15" t="s">
        <v>138</v>
      </c>
    </row>
    <row r="5" spans="1:6">
      <c r="A5" s="15" t="s">
        <v>143</v>
      </c>
      <c r="B5" s="15" t="s">
        <v>32</v>
      </c>
      <c r="C5" s="15" t="s">
        <v>144</v>
      </c>
      <c r="D5" s="17">
        <v>45568</v>
      </c>
      <c r="E5" s="15" t="s">
        <v>29</v>
      </c>
      <c r="F5" s="15" t="s">
        <v>145</v>
      </c>
    </row>
    <row r="6" spans="1:6">
      <c r="A6" s="15" t="s">
        <v>146</v>
      </c>
      <c r="B6" s="15" t="s">
        <v>38</v>
      </c>
      <c r="C6" s="15" t="s">
        <v>142</v>
      </c>
      <c r="D6" s="17">
        <v>45568</v>
      </c>
      <c r="E6" s="15" t="s">
        <v>14</v>
      </c>
      <c r="F6" s="15" t="s">
        <v>138</v>
      </c>
    </row>
    <row r="7" spans="1:6">
      <c r="A7" s="15" t="s">
        <v>147</v>
      </c>
      <c r="B7" s="15" t="s">
        <v>45</v>
      </c>
      <c r="C7" s="15" t="s">
        <v>148</v>
      </c>
      <c r="D7" s="17">
        <v>45569</v>
      </c>
      <c r="E7" s="15" t="s">
        <v>22</v>
      </c>
      <c r="F7" s="15" t="s">
        <v>149</v>
      </c>
    </row>
    <row r="8" spans="1:6">
      <c r="A8" s="15" t="s">
        <v>150</v>
      </c>
      <c r="B8" s="15" t="s">
        <v>51</v>
      </c>
      <c r="C8" s="15" t="s">
        <v>151</v>
      </c>
      <c r="D8" s="17">
        <v>45569</v>
      </c>
      <c r="E8" s="15" t="s">
        <v>42</v>
      </c>
      <c r="F8" s="15" t="s">
        <v>145</v>
      </c>
    </row>
    <row r="9" spans="1:6">
      <c r="A9" s="15" t="s">
        <v>152</v>
      </c>
      <c r="B9" s="15" t="s">
        <v>55</v>
      </c>
      <c r="C9" s="15" t="s">
        <v>153</v>
      </c>
      <c r="D9" s="17">
        <v>45570</v>
      </c>
      <c r="E9" s="15" t="s">
        <v>14</v>
      </c>
      <c r="F9" s="15" t="s">
        <v>140</v>
      </c>
    </row>
    <row r="10" spans="1:6">
      <c r="A10" s="15" t="s">
        <v>154</v>
      </c>
      <c r="B10" s="15" t="s">
        <v>60</v>
      </c>
      <c r="C10" s="15" t="s">
        <v>155</v>
      </c>
      <c r="D10" s="17">
        <v>45570</v>
      </c>
      <c r="E10" s="15" t="s">
        <v>36</v>
      </c>
      <c r="F10" s="15" t="s">
        <v>138</v>
      </c>
    </row>
    <row r="11" spans="1:6">
      <c r="A11" s="15" t="s">
        <v>156</v>
      </c>
      <c r="B11" s="15" t="s">
        <v>65</v>
      </c>
      <c r="C11" s="15" t="s">
        <v>157</v>
      </c>
      <c r="D11" s="17">
        <v>45571</v>
      </c>
      <c r="E11" s="15" t="s">
        <v>29</v>
      </c>
      <c r="F11" s="15" t="s">
        <v>149</v>
      </c>
    </row>
    <row r="12" spans="1:6">
      <c r="A12" s="15" t="s">
        <v>158</v>
      </c>
      <c r="B12" s="15" t="s">
        <v>70</v>
      </c>
      <c r="C12" s="15" t="s">
        <v>142</v>
      </c>
      <c r="D12" s="17">
        <v>45571</v>
      </c>
      <c r="E12" s="15" t="s">
        <v>14</v>
      </c>
      <c r="F12" s="15" t="s">
        <v>138</v>
      </c>
    </row>
    <row r="13" spans="1:6">
      <c r="A13" s="15" t="s">
        <v>159</v>
      </c>
      <c r="B13" s="15" t="s">
        <v>75</v>
      </c>
      <c r="C13" s="15" t="s">
        <v>155</v>
      </c>
      <c r="D13" s="17">
        <v>45519</v>
      </c>
      <c r="E13" s="15" t="s">
        <v>22</v>
      </c>
      <c r="F13" s="15" t="s">
        <v>145</v>
      </c>
    </row>
    <row r="14" spans="1:6">
      <c r="A14" s="15" t="s">
        <v>160</v>
      </c>
      <c r="B14" s="15" t="s">
        <v>80</v>
      </c>
      <c r="C14" s="15" t="s">
        <v>153</v>
      </c>
      <c r="D14" s="17">
        <v>45572</v>
      </c>
      <c r="E14" s="15" t="s">
        <v>42</v>
      </c>
      <c r="F14" s="15" t="s">
        <v>140</v>
      </c>
    </row>
    <row r="15" spans="1:6">
      <c r="A15" s="15" t="s">
        <v>161</v>
      </c>
      <c r="B15" s="15" t="s">
        <v>86</v>
      </c>
      <c r="C15" s="15" t="s">
        <v>137</v>
      </c>
      <c r="D15" s="17">
        <v>45573</v>
      </c>
      <c r="E15" s="15" t="s">
        <v>36</v>
      </c>
      <c r="F15" s="15" t="s">
        <v>138</v>
      </c>
    </row>
    <row r="16" spans="1:6">
      <c r="A16" s="15" t="s">
        <v>162</v>
      </c>
      <c r="B16" s="15" t="s">
        <v>91</v>
      </c>
      <c r="C16" s="15" t="s">
        <v>151</v>
      </c>
      <c r="D16" s="17">
        <v>45573</v>
      </c>
      <c r="E16" s="15" t="s">
        <v>14</v>
      </c>
      <c r="F16" s="15" t="s">
        <v>149</v>
      </c>
    </row>
    <row r="17" spans="1:6">
      <c r="A17" s="15" t="s">
        <v>163</v>
      </c>
      <c r="B17" s="15" t="s">
        <v>94</v>
      </c>
      <c r="C17" s="15" t="s">
        <v>142</v>
      </c>
      <c r="D17" s="17">
        <v>45574</v>
      </c>
      <c r="E17" s="15" t="s">
        <v>29</v>
      </c>
      <c r="F17" s="15" t="s">
        <v>138</v>
      </c>
    </row>
    <row r="18" spans="1:6">
      <c r="A18" s="15" t="s">
        <v>164</v>
      </c>
      <c r="B18" s="15" t="s">
        <v>99</v>
      </c>
      <c r="C18" s="15" t="s">
        <v>165</v>
      </c>
      <c r="D18" s="17">
        <v>45574</v>
      </c>
      <c r="E18" s="15" t="s">
        <v>14</v>
      </c>
      <c r="F18" s="15" t="s">
        <v>140</v>
      </c>
    </row>
    <row r="19" spans="1:6">
      <c r="A19" s="15" t="s">
        <v>166</v>
      </c>
      <c r="B19" s="15" t="s">
        <v>103</v>
      </c>
      <c r="C19" s="15" t="s">
        <v>153</v>
      </c>
      <c r="D19" s="17">
        <v>45575</v>
      </c>
      <c r="E19" s="15" t="s">
        <v>22</v>
      </c>
      <c r="F19" s="15" t="s">
        <v>145</v>
      </c>
    </row>
    <row r="20" spans="1:6">
      <c r="A20" s="15" t="s">
        <v>167</v>
      </c>
      <c r="B20" s="15" t="s">
        <v>107</v>
      </c>
      <c r="C20" s="15" t="s">
        <v>151</v>
      </c>
      <c r="D20" s="17">
        <v>45565</v>
      </c>
      <c r="E20" s="15" t="s">
        <v>36</v>
      </c>
      <c r="F20" s="15" t="s">
        <v>138</v>
      </c>
    </row>
    <row r="21" spans="1:6">
      <c r="A21" s="15" t="s">
        <v>168</v>
      </c>
      <c r="B21" s="15" t="s">
        <v>112</v>
      </c>
      <c r="C21" s="15" t="s">
        <v>137</v>
      </c>
      <c r="D21" s="17">
        <v>45576</v>
      </c>
      <c r="E21" s="15" t="s">
        <v>42</v>
      </c>
      <c r="F21" s="15" t="s">
        <v>149</v>
      </c>
    </row>
    <row r="22" spans="1:6">
      <c r="A22" s="15" t="s">
        <v>169</v>
      </c>
      <c r="B22" s="15" t="s">
        <v>116</v>
      </c>
      <c r="C22" s="15" t="s">
        <v>142</v>
      </c>
      <c r="D22" s="17">
        <v>45576</v>
      </c>
      <c r="E22" s="15" t="s">
        <v>14</v>
      </c>
      <c r="F22" s="15" t="s">
        <v>138</v>
      </c>
    </row>
    <row r="23" spans="1:6">
      <c r="A23" s="15" t="s">
        <v>170</v>
      </c>
      <c r="B23" s="15" t="s">
        <v>119</v>
      </c>
      <c r="C23" s="15" t="s">
        <v>153</v>
      </c>
      <c r="D23" s="17">
        <v>45577</v>
      </c>
      <c r="E23" s="15" t="s">
        <v>29</v>
      </c>
      <c r="F23" s="15" t="s">
        <v>140</v>
      </c>
    </row>
    <row r="24" spans="1:6">
      <c r="A24" s="15" t="s">
        <v>171</v>
      </c>
      <c r="B24" s="15" t="s">
        <v>122</v>
      </c>
      <c r="C24" s="15" t="s">
        <v>155</v>
      </c>
      <c r="D24" s="17">
        <v>45559</v>
      </c>
      <c r="E24" s="15" t="s">
        <v>22</v>
      </c>
      <c r="F24" s="15" t="s">
        <v>145</v>
      </c>
    </row>
    <row r="25" spans="1:6">
      <c r="A25" s="15" t="s">
        <v>172</v>
      </c>
      <c r="B25" s="15" t="s">
        <v>125</v>
      </c>
      <c r="C25" s="15" t="s">
        <v>157</v>
      </c>
      <c r="D25" s="17">
        <v>45578</v>
      </c>
      <c r="E25" s="15" t="s">
        <v>14</v>
      </c>
      <c r="F25" s="15" t="s">
        <v>149</v>
      </c>
    </row>
    <row r="26" spans="1:6">
      <c r="A26" s="15" t="s">
        <v>173</v>
      </c>
      <c r="B26" s="15" t="s">
        <v>128</v>
      </c>
      <c r="C26" s="15" t="s">
        <v>137</v>
      </c>
      <c r="D26" s="17">
        <v>45578</v>
      </c>
      <c r="E26" s="15" t="s">
        <v>36</v>
      </c>
      <c r="F26" s="15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4F1E-3EB1-4F14-90D9-45A4374DC634}">
  <dimension ref="A1:G16"/>
  <sheetViews>
    <sheetView workbookViewId="0">
      <selection activeCell="D25" sqref="D25"/>
    </sheetView>
  </sheetViews>
  <sheetFormatPr defaultRowHeight="15"/>
  <cols>
    <col min="1" max="1" width="10.5703125" customWidth="1"/>
    <col min="2" max="2" width="21" customWidth="1"/>
    <col min="3" max="3" width="17.42578125" customWidth="1"/>
    <col min="4" max="4" width="15.42578125" customWidth="1"/>
    <col min="5" max="5" width="15.28515625" customWidth="1"/>
    <col min="6" max="6" width="14.5703125" customWidth="1"/>
    <col min="7" max="7" width="16" customWidth="1"/>
    <col min="10" max="10" width="17.42578125" customWidth="1"/>
    <col min="11" max="11" width="14.5703125" bestFit="1" customWidth="1"/>
  </cols>
  <sheetData>
    <row r="1" spans="1:7">
      <c r="A1" s="14" t="s">
        <v>132</v>
      </c>
      <c r="B1" s="14" t="s">
        <v>174</v>
      </c>
      <c r="C1" s="14" t="s">
        <v>175</v>
      </c>
      <c r="D1" s="14" t="s">
        <v>176</v>
      </c>
      <c r="E1" s="14" t="s">
        <v>177</v>
      </c>
      <c r="F1" s="14" t="s">
        <v>178</v>
      </c>
      <c r="G1" s="14" t="s">
        <v>179</v>
      </c>
    </row>
    <row r="2" spans="1:7">
      <c r="A2" s="15" t="s">
        <v>137</v>
      </c>
      <c r="B2" s="15" t="s">
        <v>180</v>
      </c>
      <c r="C2" s="15" t="s">
        <v>181</v>
      </c>
      <c r="D2" s="15" t="s">
        <v>21</v>
      </c>
      <c r="E2" s="15">
        <v>1</v>
      </c>
      <c r="F2" s="15" t="s">
        <v>15</v>
      </c>
      <c r="G2" s="15" t="s">
        <v>182</v>
      </c>
    </row>
    <row r="3" spans="1:7">
      <c r="A3" s="15" t="s">
        <v>142</v>
      </c>
      <c r="B3" s="15" t="s">
        <v>183</v>
      </c>
      <c r="C3" s="15" t="s">
        <v>181</v>
      </c>
      <c r="D3" s="15" t="s">
        <v>28</v>
      </c>
      <c r="E3" s="15">
        <v>2</v>
      </c>
      <c r="F3" s="15" t="s">
        <v>30</v>
      </c>
      <c r="G3" s="15" t="s">
        <v>182</v>
      </c>
    </row>
    <row r="4" spans="1:7">
      <c r="A4" s="15" t="s">
        <v>153</v>
      </c>
      <c r="B4" s="15" t="s">
        <v>184</v>
      </c>
      <c r="C4" s="15" t="s">
        <v>185</v>
      </c>
      <c r="D4" s="15" t="s">
        <v>13</v>
      </c>
      <c r="E4" s="15">
        <v>3</v>
      </c>
      <c r="F4" s="15" t="s">
        <v>23</v>
      </c>
      <c r="G4" s="15" t="s">
        <v>186</v>
      </c>
    </row>
    <row r="5" spans="1:7" ht="16.5" customHeight="1">
      <c r="A5" s="15" t="s">
        <v>151</v>
      </c>
      <c r="B5" s="15" t="s">
        <v>187</v>
      </c>
      <c r="C5" s="15" t="s">
        <v>185</v>
      </c>
      <c r="D5" s="15" t="s">
        <v>41</v>
      </c>
      <c r="E5" s="15">
        <v>2</v>
      </c>
      <c r="F5" s="15" t="s">
        <v>15</v>
      </c>
      <c r="G5" s="15" t="s">
        <v>182</v>
      </c>
    </row>
    <row r="6" spans="1:7">
      <c r="A6" s="15" t="s">
        <v>155</v>
      </c>
      <c r="B6" s="15" t="s">
        <v>188</v>
      </c>
      <c r="C6" s="15" t="s">
        <v>189</v>
      </c>
      <c r="D6" s="15" t="s">
        <v>35</v>
      </c>
      <c r="E6" s="15">
        <v>1</v>
      </c>
      <c r="F6" s="15" t="s">
        <v>37</v>
      </c>
      <c r="G6" s="15" t="s">
        <v>182</v>
      </c>
    </row>
    <row r="7" spans="1:7">
      <c r="A7" s="15" t="s">
        <v>190</v>
      </c>
      <c r="B7" s="15" t="s">
        <v>191</v>
      </c>
      <c r="C7" s="15" t="s">
        <v>181</v>
      </c>
      <c r="D7" s="15" t="s">
        <v>48</v>
      </c>
      <c r="E7" s="15">
        <v>2</v>
      </c>
      <c r="F7" s="15" t="s">
        <v>49</v>
      </c>
      <c r="G7" s="15" t="s">
        <v>186</v>
      </c>
    </row>
    <row r="8" spans="1:7">
      <c r="A8" s="15" t="s">
        <v>192</v>
      </c>
      <c r="B8" s="15" t="s">
        <v>193</v>
      </c>
      <c r="C8" s="15" t="s">
        <v>185</v>
      </c>
      <c r="D8" s="15" t="s">
        <v>28</v>
      </c>
      <c r="E8" s="15">
        <v>3</v>
      </c>
      <c r="F8" s="15" t="s">
        <v>68</v>
      </c>
      <c r="G8" s="15" t="s">
        <v>182</v>
      </c>
    </row>
    <row r="9" spans="1:7">
      <c r="A9" s="15" t="s">
        <v>194</v>
      </c>
      <c r="B9" s="15" t="s">
        <v>195</v>
      </c>
      <c r="C9" s="15" t="s">
        <v>196</v>
      </c>
      <c r="D9" s="15" t="s">
        <v>21</v>
      </c>
      <c r="E9" s="15">
        <v>2</v>
      </c>
      <c r="F9" s="15" t="s">
        <v>84</v>
      </c>
      <c r="G9" s="15" t="s">
        <v>182</v>
      </c>
    </row>
    <row r="10" spans="1:7">
      <c r="A10" s="15" t="s">
        <v>197</v>
      </c>
      <c r="B10" s="15" t="s">
        <v>198</v>
      </c>
      <c r="C10" s="15" t="s">
        <v>185</v>
      </c>
      <c r="D10" s="15" t="s">
        <v>13</v>
      </c>
      <c r="E10" s="15">
        <v>2</v>
      </c>
      <c r="F10" s="15" t="s">
        <v>63</v>
      </c>
      <c r="G10" s="15" t="s">
        <v>186</v>
      </c>
    </row>
    <row r="11" spans="1:7">
      <c r="A11" s="15" t="s">
        <v>199</v>
      </c>
      <c r="B11" s="15" t="s">
        <v>200</v>
      </c>
      <c r="C11" s="15" t="s">
        <v>189</v>
      </c>
      <c r="D11" s="15" t="s">
        <v>54</v>
      </c>
      <c r="E11" s="15">
        <v>1</v>
      </c>
      <c r="F11" s="15" t="s">
        <v>15</v>
      </c>
      <c r="G11" s="15" t="s">
        <v>182</v>
      </c>
    </row>
    <row r="12" spans="1:7" ht="16.5" customHeight="1">
      <c r="A12" s="15" t="s">
        <v>148</v>
      </c>
      <c r="B12" s="15" t="s">
        <v>201</v>
      </c>
      <c r="C12" s="15" t="s">
        <v>181</v>
      </c>
      <c r="D12" s="15" t="s">
        <v>21</v>
      </c>
      <c r="E12" s="15">
        <v>0</v>
      </c>
      <c r="F12" s="15" t="s">
        <v>23</v>
      </c>
      <c r="G12" s="15" t="s">
        <v>182</v>
      </c>
    </row>
    <row r="13" spans="1:7">
      <c r="A13" s="15" t="s">
        <v>202</v>
      </c>
      <c r="B13" s="15" t="s">
        <v>203</v>
      </c>
      <c r="C13" s="15" t="s">
        <v>181</v>
      </c>
      <c r="D13" s="15" t="s">
        <v>35</v>
      </c>
      <c r="E13" s="15">
        <v>1</v>
      </c>
      <c r="F13" s="15" t="s">
        <v>73</v>
      </c>
      <c r="G13" s="15" t="s">
        <v>182</v>
      </c>
    </row>
    <row r="14" spans="1:7">
      <c r="A14" s="15" t="s">
        <v>144</v>
      </c>
      <c r="B14" s="15" t="s">
        <v>204</v>
      </c>
      <c r="C14" s="15" t="s">
        <v>181</v>
      </c>
      <c r="D14" s="15" t="s">
        <v>28</v>
      </c>
      <c r="E14" s="15">
        <v>4</v>
      </c>
      <c r="F14" s="15" t="s">
        <v>30</v>
      </c>
      <c r="G14" s="15" t="s">
        <v>186</v>
      </c>
    </row>
    <row r="15" spans="1:7">
      <c r="A15" s="15" t="s">
        <v>157</v>
      </c>
      <c r="B15" s="15" t="s">
        <v>205</v>
      </c>
      <c r="C15" s="15" t="s">
        <v>185</v>
      </c>
      <c r="D15" s="15" t="s">
        <v>83</v>
      </c>
      <c r="E15" s="15">
        <v>2</v>
      </c>
      <c r="F15" s="15" t="s">
        <v>84</v>
      </c>
      <c r="G15" s="15" t="s">
        <v>182</v>
      </c>
    </row>
    <row r="16" spans="1:7">
      <c r="A16" s="15" t="s">
        <v>165</v>
      </c>
      <c r="B16" s="15" t="s">
        <v>206</v>
      </c>
      <c r="C16" s="15" t="s">
        <v>181</v>
      </c>
      <c r="D16" s="15" t="s">
        <v>48</v>
      </c>
      <c r="E16" s="15">
        <v>0</v>
      </c>
      <c r="F16" s="15" t="s">
        <v>37</v>
      </c>
      <c r="G16" s="15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6F17-94AC-48A9-91D0-76C654A7ECDF}">
  <dimension ref="A1:F21"/>
  <sheetViews>
    <sheetView tabSelected="1" topLeftCell="A12" workbookViewId="0">
      <selection sqref="A1:F21"/>
    </sheetView>
  </sheetViews>
  <sheetFormatPr defaultRowHeight="15"/>
  <cols>
    <col min="1" max="1" width="13.85546875" customWidth="1"/>
    <col min="2" max="2" width="14.42578125" customWidth="1"/>
    <col min="3" max="3" width="12" customWidth="1"/>
    <col min="4" max="4" width="14.7109375" customWidth="1"/>
    <col min="5" max="5" width="16" customWidth="1"/>
    <col min="6" max="6" width="16.140625" customWidth="1"/>
  </cols>
  <sheetData>
    <row r="1" spans="1:6">
      <c r="A1" s="14" t="s">
        <v>207</v>
      </c>
      <c r="B1" s="14" t="s">
        <v>0</v>
      </c>
      <c r="C1" s="14" t="s">
        <v>132</v>
      </c>
      <c r="D1" s="14" t="s">
        <v>208</v>
      </c>
      <c r="E1" s="14" t="s">
        <v>209</v>
      </c>
      <c r="F1" s="14" t="s">
        <v>210</v>
      </c>
    </row>
    <row r="2" spans="1:6">
      <c r="A2" s="15" t="s">
        <v>211</v>
      </c>
      <c r="B2" s="15" t="s">
        <v>25</v>
      </c>
      <c r="C2" s="15" t="s">
        <v>142</v>
      </c>
      <c r="D2" s="17">
        <v>45631</v>
      </c>
      <c r="E2" s="15" t="s">
        <v>212</v>
      </c>
      <c r="F2" s="15" t="s">
        <v>213</v>
      </c>
    </row>
    <row r="3" spans="1:6">
      <c r="A3" s="15" t="s">
        <v>214</v>
      </c>
      <c r="B3" s="15" t="s">
        <v>55</v>
      </c>
      <c r="C3" s="15" t="s">
        <v>137</v>
      </c>
      <c r="D3" s="17">
        <v>45632</v>
      </c>
      <c r="E3" s="15" t="s">
        <v>215</v>
      </c>
      <c r="F3" s="15" t="s">
        <v>213</v>
      </c>
    </row>
    <row r="4" spans="1:6">
      <c r="A4" s="15" t="s">
        <v>216</v>
      </c>
      <c r="B4" s="15" t="s">
        <v>70</v>
      </c>
      <c r="C4" s="15" t="s">
        <v>197</v>
      </c>
      <c r="D4" s="17">
        <v>45633</v>
      </c>
      <c r="E4" s="15" t="s">
        <v>217</v>
      </c>
      <c r="F4" s="15" t="s">
        <v>213</v>
      </c>
    </row>
    <row r="5" spans="1:6">
      <c r="A5" s="15" t="s">
        <v>218</v>
      </c>
      <c r="B5" s="15" t="s">
        <v>103</v>
      </c>
      <c r="C5" s="15" t="s">
        <v>153</v>
      </c>
      <c r="D5" s="17">
        <v>45634</v>
      </c>
      <c r="E5" s="15" t="s">
        <v>212</v>
      </c>
      <c r="F5" s="15" t="s">
        <v>219</v>
      </c>
    </row>
    <row r="6" spans="1:6">
      <c r="A6" s="15" t="s">
        <v>220</v>
      </c>
      <c r="B6" s="15" t="s">
        <v>125</v>
      </c>
      <c r="C6" s="15" t="s">
        <v>153</v>
      </c>
      <c r="D6" s="17">
        <v>45635</v>
      </c>
      <c r="E6" s="15" t="s">
        <v>215</v>
      </c>
      <c r="F6" s="15" t="s">
        <v>219</v>
      </c>
    </row>
    <row r="7" spans="1:6">
      <c r="A7" s="15" t="s">
        <v>221</v>
      </c>
      <c r="B7" s="15" t="s">
        <v>51</v>
      </c>
      <c r="C7" s="15" t="s">
        <v>199</v>
      </c>
      <c r="D7" s="17">
        <v>45636</v>
      </c>
      <c r="E7" s="15" t="s">
        <v>217</v>
      </c>
      <c r="F7" s="15" t="s">
        <v>213</v>
      </c>
    </row>
    <row r="8" spans="1:6">
      <c r="A8" s="15" t="s">
        <v>222</v>
      </c>
      <c r="B8" s="15" t="s">
        <v>94</v>
      </c>
      <c r="C8" s="15" t="s">
        <v>190</v>
      </c>
      <c r="D8" s="17">
        <v>45637</v>
      </c>
      <c r="E8" s="15" t="s">
        <v>212</v>
      </c>
      <c r="F8" s="15" t="s">
        <v>219</v>
      </c>
    </row>
    <row r="9" spans="1:6">
      <c r="A9" s="15" t="s">
        <v>223</v>
      </c>
      <c r="B9" s="15" t="s">
        <v>116</v>
      </c>
      <c r="C9" s="15" t="s">
        <v>194</v>
      </c>
      <c r="D9" s="17">
        <v>45638</v>
      </c>
      <c r="E9" s="15" t="s">
        <v>215</v>
      </c>
      <c r="F9" s="15" t="s">
        <v>213</v>
      </c>
    </row>
    <row r="10" spans="1:6">
      <c r="A10" s="15" t="s">
        <v>224</v>
      </c>
      <c r="B10" s="15" t="s">
        <v>119</v>
      </c>
      <c r="C10" s="15" t="s">
        <v>142</v>
      </c>
      <c r="D10" s="17">
        <v>45639</v>
      </c>
      <c r="E10" s="15" t="s">
        <v>217</v>
      </c>
      <c r="F10" s="15" t="s">
        <v>213</v>
      </c>
    </row>
    <row r="11" spans="1:6">
      <c r="A11" s="15" t="s">
        <v>225</v>
      </c>
      <c r="B11" s="15" t="s">
        <v>60</v>
      </c>
      <c r="C11" s="15" t="s">
        <v>142</v>
      </c>
      <c r="D11" s="17">
        <v>45640</v>
      </c>
      <c r="E11" s="15" t="s">
        <v>212</v>
      </c>
      <c r="F11" s="15" t="s">
        <v>213</v>
      </c>
    </row>
    <row r="12" spans="1:6">
      <c r="A12" s="15" t="s">
        <v>226</v>
      </c>
      <c r="B12" s="15" t="s">
        <v>99</v>
      </c>
      <c r="C12" s="15" t="s">
        <v>194</v>
      </c>
      <c r="D12" s="17">
        <v>45641</v>
      </c>
      <c r="E12" s="15" t="s">
        <v>215</v>
      </c>
      <c r="F12" s="15" t="s">
        <v>213</v>
      </c>
    </row>
    <row r="13" spans="1:6">
      <c r="A13" s="15" t="s">
        <v>227</v>
      </c>
      <c r="B13" s="15" t="s">
        <v>75</v>
      </c>
      <c r="C13" s="15" t="s">
        <v>137</v>
      </c>
      <c r="D13" s="17">
        <v>45642</v>
      </c>
      <c r="E13" s="15" t="s">
        <v>212</v>
      </c>
      <c r="F13" s="15" t="s">
        <v>219</v>
      </c>
    </row>
    <row r="14" spans="1:6">
      <c r="A14" s="15" t="s">
        <v>228</v>
      </c>
      <c r="B14" s="15" t="s">
        <v>128</v>
      </c>
      <c r="C14" s="15" t="s">
        <v>148</v>
      </c>
      <c r="D14" s="17">
        <v>45643</v>
      </c>
      <c r="E14" s="15" t="s">
        <v>215</v>
      </c>
      <c r="F14" s="15" t="s">
        <v>213</v>
      </c>
    </row>
    <row r="15" spans="1:6">
      <c r="A15" s="15" t="s">
        <v>229</v>
      </c>
      <c r="B15" s="15" t="s">
        <v>18</v>
      </c>
      <c r="C15" s="15" t="s">
        <v>137</v>
      </c>
      <c r="D15" s="17">
        <v>45644</v>
      </c>
      <c r="E15" s="15" t="s">
        <v>217</v>
      </c>
      <c r="F15" s="15" t="s">
        <v>213</v>
      </c>
    </row>
    <row r="16" spans="1:6">
      <c r="A16" s="15" t="s">
        <v>230</v>
      </c>
      <c r="B16" s="15" t="s">
        <v>45</v>
      </c>
      <c r="C16" s="15" t="s">
        <v>165</v>
      </c>
      <c r="D16" s="17">
        <v>45645</v>
      </c>
      <c r="E16" s="15" t="s">
        <v>212</v>
      </c>
      <c r="F16" s="15" t="s">
        <v>219</v>
      </c>
    </row>
    <row r="17" spans="1:6">
      <c r="A17" s="15" t="s">
        <v>231</v>
      </c>
      <c r="B17" s="15" t="s">
        <v>86</v>
      </c>
      <c r="C17" s="15" t="s">
        <v>151</v>
      </c>
      <c r="D17" s="17">
        <v>45646</v>
      </c>
      <c r="E17" s="15" t="s">
        <v>215</v>
      </c>
      <c r="F17" s="15" t="s">
        <v>219</v>
      </c>
    </row>
    <row r="18" spans="1:6">
      <c r="A18" s="15" t="s">
        <v>232</v>
      </c>
      <c r="B18" s="15" t="s">
        <v>112</v>
      </c>
      <c r="C18" s="15" t="s">
        <v>199</v>
      </c>
      <c r="D18" s="17">
        <v>45647</v>
      </c>
      <c r="E18" s="15" t="s">
        <v>217</v>
      </c>
      <c r="F18" s="15" t="s">
        <v>213</v>
      </c>
    </row>
    <row r="19" spans="1:6">
      <c r="A19" s="15" t="s">
        <v>233</v>
      </c>
      <c r="B19" s="15" t="s">
        <v>122</v>
      </c>
      <c r="C19" s="15" t="s">
        <v>165</v>
      </c>
      <c r="D19" s="17">
        <v>45648</v>
      </c>
      <c r="E19" s="15" t="s">
        <v>212</v>
      </c>
      <c r="F19" s="15" t="s">
        <v>219</v>
      </c>
    </row>
    <row r="20" spans="1:6">
      <c r="A20" s="15" t="s">
        <v>234</v>
      </c>
      <c r="B20" s="15" t="s">
        <v>91</v>
      </c>
      <c r="C20" s="15" t="s">
        <v>142</v>
      </c>
      <c r="D20" s="17">
        <v>45649</v>
      </c>
      <c r="E20" s="15" t="s">
        <v>215</v>
      </c>
      <c r="F20" s="15" t="s">
        <v>213</v>
      </c>
    </row>
    <row r="21" spans="1:6">
      <c r="A21" s="15" t="s">
        <v>235</v>
      </c>
      <c r="B21" s="15" t="s">
        <v>10</v>
      </c>
      <c r="C21" s="15" t="s">
        <v>137</v>
      </c>
      <c r="D21" s="17">
        <v>45650</v>
      </c>
      <c r="E21" s="15" t="s">
        <v>217</v>
      </c>
      <c r="F21" s="15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04E1-D361-4982-A6EC-5066160F8C23}">
  <dimension ref="A1:M38"/>
  <sheetViews>
    <sheetView workbookViewId="0">
      <selection activeCell="H36" sqref="H36"/>
    </sheetView>
  </sheetViews>
  <sheetFormatPr defaultRowHeight="15"/>
  <cols>
    <col min="1" max="1" width="9.140625" customWidth="1"/>
    <col min="5" max="5" width="26.28515625" customWidth="1"/>
    <col min="6" max="6" width="26.42578125" customWidth="1"/>
    <col min="8" max="8" width="21" customWidth="1"/>
    <col min="9" max="9" width="27.5703125" customWidth="1"/>
    <col min="11" max="11" width="14.85546875" customWidth="1"/>
    <col min="12" max="12" width="18.42578125" customWidth="1"/>
  </cols>
  <sheetData>
    <row r="1" spans="1:13" ht="26.25">
      <c r="A1" s="10" t="s">
        <v>236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4" spans="1:13" ht="18.75">
      <c r="E4" s="1" t="s">
        <v>6</v>
      </c>
      <c r="F4" s="2" t="s">
        <v>237</v>
      </c>
      <c r="H4" s="1" t="s">
        <v>135</v>
      </c>
      <c r="I4" s="2" t="s">
        <v>238</v>
      </c>
      <c r="K4" s="1" t="s">
        <v>178</v>
      </c>
      <c r="L4" s="2" t="s">
        <v>239</v>
      </c>
    </row>
    <row r="5" spans="1:13" ht="18.75">
      <c r="E5" s="2" t="s">
        <v>14</v>
      </c>
      <c r="F5" s="3">
        <v>7</v>
      </c>
      <c r="G5" s="4"/>
      <c r="H5" s="2" t="s">
        <v>140</v>
      </c>
      <c r="I5" s="3">
        <v>5</v>
      </c>
      <c r="K5" s="2" t="s">
        <v>15</v>
      </c>
      <c r="L5" s="3">
        <v>3</v>
      </c>
    </row>
    <row r="6" spans="1:13" ht="18.75">
      <c r="E6" s="2" t="s">
        <v>29</v>
      </c>
      <c r="F6" s="3">
        <v>5</v>
      </c>
      <c r="H6" s="2" t="s">
        <v>149</v>
      </c>
      <c r="I6" s="3">
        <v>5</v>
      </c>
      <c r="K6" s="2" t="s">
        <v>49</v>
      </c>
      <c r="L6" s="3">
        <v>1</v>
      </c>
    </row>
    <row r="7" spans="1:13" ht="18.75">
      <c r="E7" s="2" t="s">
        <v>36</v>
      </c>
      <c r="F7" s="3">
        <v>3</v>
      </c>
      <c r="H7" s="2" t="s">
        <v>138</v>
      </c>
      <c r="I7" s="3">
        <v>10</v>
      </c>
      <c r="K7" s="2" t="s">
        <v>30</v>
      </c>
      <c r="L7" s="3">
        <v>2</v>
      </c>
    </row>
    <row r="8" spans="1:13" ht="18.75">
      <c r="E8" s="2" t="s">
        <v>42</v>
      </c>
      <c r="F8" s="3">
        <v>5</v>
      </c>
      <c r="H8" s="2" t="s">
        <v>145</v>
      </c>
      <c r="I8" s="3">
        <v>5</v>
      </c>
      <c r="K8" s="2" t="s">
        <v>84</v>
      </c>
      <c r="L8" s="3">
        <v>2</v>
      </c>
    </row>
    <row r="9" spans="1:13" ht="18.75">
      <c r="E9" s="2" t="s">
        <v>22</v>
      </c>
      <c r="F9" s="3">
        <v>5</v>
      </c>
      <c r="H9" s="2" t="s">
        <v>240</v>
      </c>
      <c r="I9" s="3">
        <v>25</v>
      </c>
      <c r="K9" s="2" t="s">
        <v>68</v>
      </c>
      <c r="L9" s="3">
        <v>1</v>
      </c>
    </row>
    <row r="10" spans="1:13" ht="18.75">
      <c r="E10" s="2" t="s">
        <v>240</v>
      </c>
      <c r="F10" s="3">
        <v>25</v>
      </c>
      <c r="K10" s="2" t="s">
        <v>73</v>
      </c>
      <c r="L10" s="3">
        <v>1</v>
      </c>
    </row>
    <row r="11" spans="1:13" ht="18.75">
      <c r="K11" s="2" t="s">
        <v>37</v>
      </c>
      <c r="L11" s="3">
        <v>2</v>
      </c>
    </row>
    <row r="12" spans="1:13" ht="18.75">
      <c r="K12" s="2" t="s">
        <v>63</v>
      </c>
      <c r="L12" s="3">
        <v>1</v>
      </c>
    </row>
    <row r="13" spans="1:13" ht="18.75">
      <c r="K13" s="2" t="s">
        <v>23</v>
      </c>
      <c r="L13" s="3">
        <v>2</v>
      </c>
    </row>
    <row r="14" spans="1:13" ht="18.75">
      <c r="K14" s="2" t="s">
        <v>240</v>
      </c>
      <c r="L14" s="3">
        <v>15</v>
      </c>
    </row>
    <row r="30" spans="5:6" ht="18.75">
      <c r="E30" s="12" t="s">
        <v>241</v>
      </c>
      <c r="F30" s="13"/>
    </row>
    <row r="32" spans="5:6" ht="18.75">
      <c r="E32" s="8" t="s">
        <v>242</v>
      </c>
      <c r="F32" s="9">
        <f>COUNTA(Candidates!A2:A100)</f>
        <v>25</v>
      </c>
    </row>
    <row r="33" spans="5:6" ht="18" customHeight="1">
      <c r="E33" s="5"/>
      <c r="F33" s="6"/>
    </row>
    <row r="34" spans="5:6" ht="18.75">
      <c r="E34" s="9" t="s">
        <v>243</v>
      </c>
      <c r="F34" s="9">
        <f>COUNTA(Applications!A2:A100)</f>
        <v>25</v>
      </c>
    </row>
    <row r="35" spans="5:6" ht="18.75">
      <c r="E35" s="7"/>
      <c r="F35" s="7"/>
    </row>
    <row r="36" spans="5:6" ht="18.75">
      <c r="E36" s="9" t="s">
        <v>244</v>
      </c>
      <c r="F36" s="9">
        <f>COUNTA(Interviews!A2:A100)</f>
        <v>20</v>
      </c>
    </row>
    <row r="37" spans="5:6" ht="18.75">
      <c r="E37" s="7"/>
      <c r="F37" s="7"/>
    </row>
    <row r="38" spans="5:6" ht="18.75">
      <c r="E38" s="9" t="s">
        <v>245</v>
      </c>
      <c r="F38" s="9">
        <f>COUNTIF(Candidates!G:G,"Selected")</f>
        <v>5</v>
      </c>
    </row>
  </sheetData>
  <mergeCells count="2">
    <mergeCell ref="A1:M1"/>
    <mergeCell ref="E30:F30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2025-12-19T14:54:28Z</dcterms:created>
  <dcterms:modified xsi:type="dcterms:W3CDTF">2025-12-24T05:12:45Z</dcterms:modified>
  <cp:category/>
  <cp:contentStatus/>
</cp:coreProperties>
</file>